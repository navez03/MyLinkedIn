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/>
  <xr:revisionPtr revIDLastSave="0" documentId="8_{1A972D94-F514-4484-84F7-ED11B7B2F57F}" xr6:coauthVersionLast="47" xr6:coauthVersionMax="47" xr10:uidLastSave="{00000000-0000-0000-0000-000000000000}"/>
  <bookViews>
    <workbookView xWindow="0" yWindow="0" windowWidth="16384" windowHeight="8192" tabRatio="500" firstSheet="1" activeTab="1" xr2:uid="{00000000-000D-0000-FFFF-FFFF00000000}"/>
  </bookViews>
  <sheets>
    <sheet name="Burndown Chart Sprint1" sheetId="1" r:id="rId1"/>
    <sheet name="Burndown Chart Sprint 2" sheetId="2" r:id="rId2"/>
    <sheet name="Task Dependecies" sheetId="3" r:id="rId3"/>
    <sheet name="Task Dependecies (2)" sheetId="9" r:id="rId4"/>
    <sheet name="Burndown Chart s1" sheetId="4" r:id="rId5"/>
    <sheet name="Burndown Chart s2" sheetId="5" r:id="rId6"/>
    <sheet name="Burndown Chart s3" sheetId="6" r:id="rId7"/>
    <sheet name="Burndown Chart s4" sheetId="7" r:id="rId8"/>
    <sheet name="Gant Chart" sheetId="8" r:id="rId9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9" i="9" l="1"/>
  <c r="H30" i="9"/>
  <c r="H31" i="9"/>
  <c r="H32" i="9"/>
  <c r="H33" i="9"/>
  <c r="H24" i="9"/>
  <c r="H25" i="9"/>
  <c r="H26" i="9"/>
  <c r="H27" i="9"/>
  <c r="H28" i="9"/>
  <c r="H17" i="9"/>
  <c r="H18" i="9"/>
  <c r="H19" i="9"/>
  <c r="H20" i="9"/>
  <c r="H21" i="9"/>
  <c r="H22" i="9"/>
  <c r="H23" i="9"/>
  <c r="H16" i="9"/>
  <c r="H15" i="9"/>
  <c r="H14" i="9"/>
  <c r="H13" i="9"/>
  <c r="H12" i="9"/>
  <c r="H11" i="9"/>
  <c r="H10" i="9"/>
  <c r="H9" i="9"/>
  <c r="H8" i="9"/>
  <c r="H7" i="9"/>
  <c r="H6" i="9"/>
  <c r="H5" i="9"/>
  <c r="D17" i="7"/>
  <c r="K16" i="7"/>
  <c r="J16" i="7"/>
  <c r="I16" i="7"/>
  <c r="H16" i="7"/>
  <c r="G16" i="7"/>
  <c r="F16" i="7"/>
  <c r="E16" i="7"/>
  <c r="D15" i="6"/>
  <c r="K14" i="6"/>
  <c r="J14" i="6"/>
  <c r="I14" i="6"/>
  <c r="H14" i="6"/>
  <c r="G14" i="6"/>
  <c r="F14" i="6"/>
  <c r="E14" i="6"/>
  <c r="D21" i="5"/>
  <c r="K20" i="5"/>
  <c r="J20" i="5"/>
  <c r="I20" i="5"/>
  <c r="H20" i="5"/>
  <c r="G20" i="5"/>
  <c r="F20" i="5"/>
  <c r="E20" i="5"/>
  <c r="D12" i="4"/>
  <c r="K11" i="4"/>
  <c r="J11" i="4"/>
  <c r="I11" i="4"/>
  <c r="H11" i="4"/>
  <c r="G11" i="4"/>
  <c r="F11" i="4"/>
  <c r="E11" i="4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D42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2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3" i="1" l="1"/>
  <c r="E42" i="1"/>
  <c r="F42" i="1" s="1"/>
  <c r="G42" i="1" s="1"/>
  <c r="H42" i="1" s="1"/>
  <c r="I42" i="1" s="1"/>
  <c r="J42" i="1" s="1"/>
  <c r="K42" i="1" s="1"/>
  <c r="L42" i="1" s="1"/>
  <c r="M42" i="1" s="1"/>
  <c r="N42" i="1" s="1"/>
  <c r="O42" i="1" s="1"/>
  <c r="P42" i="1" s="1"/>
  <c r="Q42" i="1" s="1"/>
  <c r="R42" i="1" s="1"/>
  <c r="S42" i="1" s="1"/>
  <c r="T42" i="1" s="1"/>
  <c r="U42" i="1" s="1"/>
  <c r="V42" i="1" s="1"/>
  <c r="W42" i="1" s="1"/>
  <c r="X42" i="1" s="1"/>
  <c r="Y42" i="1" s="1"/>
  <c r="Z42" i="1" s="1"/>
  <c r="AA42" i="1" s="1"/>
  <c r="AB42" i="1" s="1"/>
  <c r="AC42" i="1" s="1"/>
  <c r="AD42" i="1" s="1"/>
  <c r="AE42" i="1" s="1"/>
  <c r="AF42" i="1" s="1"/>
  <c r="AG42" i="1" s="1"/>
  <c r="D43" i="2"/>
  <c r="E42" i="2"/>
  <c r="F42" i="2" s="1"/>
  <c r="G42" i="2" s="1"/>
  <c r="H42" i="2" s="1"/>
  <c r="I42" i="2" s="1"/>
  <c r="J42" i="2" s="1"/>
  <c r="K42" i="2" s="1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AG42" i="2" s="1"/>
  <c r="AH42" i="2" s="1"/>
  <c r="AI42" i="2" s="1"/>
  <c r="AJ42" i="2" s="1"/>
  <c r="AK42" i="2" s="1"/>
  <c r="AL42" i="2" s="1"/>
  <c r="AM42" i="2" s="1"/>
  <c r="AN42" i="2" s="1"/>
  <c r="AO42" i="2" s="1"/>
  <c r="D13" i="4"/>
  <c r="E12" i="4"/>
  <c r="F12" i="4" s="1"/>
  <c r="G12" i="4" s="1"/>
  <c r="H12" i="4" s="1"/>
  <c r="I12" i="4" s="1"/>
  <c r="J12" i="4" s="1"/>
  <c r="K12" i="4" s="1"/>
  <c r="D22" i="5"/>
  <c r="E21" i="5"/>
  <c r="F21" i="5" s="1"/>
  <c r="G21" i="5" s="1"/>
  <c r="H21" i="5" s="1"/>
  <c r="I21" i="5" s="1"/>
  <c r="J21" i="5" s="1"/>
  <c r="K21" i="5" s="1"/>
  <c r="D16" i="6"/>
  <c r="E15" i="6"/>
  <c r="F15" i="6" s="1"/>
  <c r="G15" i="6" s="1"/>
  <c r="H15" i="6" s="1"/>
  <c r="I15" i="6" s="1"/>
  <c r="J15" i="6" s="1"/>
  <c r="K15" i="6" s="1"/>
  <c r="D18" i="7"/>
  <c r="E17" i="7"/>
  <c r="F17" i="7" s="1"/>
  <c r="G17" i="7" s="1"/>
  <c r="H17" i="7" s="1"/>
  <c r="I17" i="7" s="1"/>
  <c r="J17" i="7" s="1"/>
  <c r="K17" i="7" s="1"/>
  <c r="AP42" i="2" l="1"/>
  <c r="K18" i="7"/>
  <c r="J18" i="7"/>
  <c r="I18" i="7"/>
  <c r="H18" i="7"/>
  <c r="G18" i="7"/>
  <c r="F18" i="7"/>
  <c r="E18" i="7"/>
  <c r="K16" i="6"/>
  <c r="J16" i="6"/>
  <c r="I16" i="6"/>
  <c r="H16" i="6"/>
  <c r="G16" i="6"/>
  <c r="F16" i="6"/>
  <c r="E16" i="6"/>
  <c r="K22" i="5"/>
  <c r="J22" i="5"/>
  <c r="I22" i="5"/>
  <c r="H22" i="5"/>
  <c r="G22" i="5"/>
  <c r="F22" i="5"/>
  <c r="E22" i="5"/>
  <c r="K13" i="4"/>
  <c r="J13" i="4"/>
  <c r="I13" i="4"/>
  <c r="H13" i="4"/>
  <c r="G13" i="4"/>
  <c r="F13" i="4"/>
  <c r="E13" i="4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</calcChain>
</file>

<file path=xl/sharedStrings.xml><?xml version="1.0" encoding="utf-8"?>
<sst xmlns="http://schemas.openxmlformats.org/spreadsheetml/2006/main" count="519" uniqueCount="187">
  <si>
    <t>First Sprint Burndown Chart</t>
  </si>
  <si>
    <t>Task ID</t>
  </si>
  <si>
    <t>Task Description</t>
  </si>
  <si>
    <t>Initial Estimate time (Hours)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</si>
  <si>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</si>
  <si>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</si>
  <si>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</si>
  <si>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</si>
  <si>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</si>
  <si>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</si>
  <si>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</si>
  <si>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</si>
  <si>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</si>
  <si>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</si>
  <si>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</si>
  <si>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</si>
  <si>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</si>
  <si>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</si>
  <si>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Day 15</t>
  </si>
  <si>
    <t>Day 16</t>
  </si>
  <si>
    <t>Day 17</t>
  </si>
  <si>
    <t>Day 18</t>
  </si>
  <si>
    <t>Day 19</t>
  </si>
  <si>
    <t>Day 20</t>
  </si>
  <si>
    <t>Day 21</t>
  </si>
  <si>
    <t>Day 22</t>
  </si>
  <si>
    <t>Day 23</t>
  </si>
  <si>
    <t>Day 24</t>
  </si>
  <si>
    <t>Day 25</t>
  </si>
  <si>
    <t>Day 26</t>
  </si>
  <si>
    <t>Day 27</t>
  </si>
  <si>
    <t>Day 28</t>
  </si>
  <si>
    <t>Day 29</t>
  </si>
  <si>
    <t>1 day = 2/3 horas de trabalho max</t>
  </si>
  <si>
    <t>BPMN Register Account</t>
  </si>
  <si>
    <t>BPMN Post Content</t>
  </si>
  <si>
    <t xml:space="preserve">NOTA: adicionar horas das tarefas das outras pessoas, fazer este preenchimento das horas na última reunião da semana </t>
  </si>
  <si>
    <t>BPMN Get Notifications</t>
  </si>
  <si>
    <t>BPMN Adicionar Contacto</t>
  </si>
  <si>
    <t>BPMN Send a Message</t>
  </si>
  <si>
    <t xml:space="preserve">Frontend Adicionar User </t>
  </si>
  <si>
    <t>Frontend Adicionar Contacto</t>
  </si>
  <si>
    <t xml:space="preserve">Backend Adicionar User </t>
  </si>
  <si>
    <t>Backend Adicionar Contacto</t>
  </si>
  <si>
    <t>BPMN Interact with Posts</t>
  </si>
  <si>
    <t>BPMN Add Skill</t>
  </si>
  <si>
    <t>BPMN Search Posts/People</t>
  </si>
  <si>
    <t>BPMN Create and Reply to Listing</t>
  </si>
  <si>
    <t>BPMN Create and Interact with Events</t>
  </si>
  <si>
    <t>BPMN Create Groups</t>
  </si>
  <si>
    <t>BPMN Discover Groups</t>
  </si>
  <si>
    <t>BPMN AI Assistant</t>
  </si>
  <si>
    <t>BPMN Post CV with anonymous reviews</t>
  </si>
  <si>
    <t>BPMN Send GIFs in the comments</t>
  </si>
  <si>
    <t>Functional Requirements – Task 2, 10, 11</t>
  </si>
  <si>
    <t>Functional Requirements – Task 1, 16, 17</t>
  </si>
  <si>
    <t>Functional Requirements – Task 3, 18, 19</t>
  </si>
  <si>
    <t>Functional Requirements – Task 4, 12, 13</t>
  </si>
  <si>
    <t>Functional Requirements da Task 5, 14, 15</t>
  </si>
  <si>
    <t>Non-Functional Requirements</t>
  </si>
  <si>
    <t>Frontend Enviar Mensagem</t>
  </si>
  <si>
    <t>Frontend Notificações</t>
  </si>
  <si>
    <t>Frontend Criar Post</t>
  </si>
  <si>
    <t>Backend Enviar Mensagem</t>
  </si>
  <si>
    <t>Backend Notificações</t>
  </si>
  <si>
    <t>Backend Criar Post</t>
  </si>
  <si>
    <t>Criação do Gant Chart</t>
  </si>
  <si>
    <t xml:space="preserve"> BPMN Main Process</t>
  </si>
  <si>
    <t>Completed Effort</t>
  </si>
  <si>
    <t>Remaining Effort</t>
  </si>
  <si>
    <t>Ideal Burndown</t>
  </si>
  <si>
    <t xml:space="preserve">
</t>
  </si>
  <si>
    <t>Second Sprint Burndown Chart</t>
  </si>
  <si>
    <t>Day 30</t>
  </si>
  <si>
    <t>Day 31</t>
  </si>
  <si>
    <t>Day 32</t>
  </si>
  <si>
    <t>Day 33</t>
  </si>
  <si>
    <t>Day 34</t>
  </si>
  <si>
    <t>Day 35</t>
  </si>
  <si>
    <t>Day 36</t>
  </si>
  <si>
    <t>Day 37</t>
  </si>
  <si>
    <t>Day 38</t>
  </si>
  <si>
    <t>Fix BPMNs</t>
  </si>
  <si>
    <t>Use Case Diagram</t>
  </si>
  <si>
    <t>Backend Interact With Posts</t>
  </si>
  <si>
    <t>Backend Manage Events</t>
  </si>
  <si>
    <t>Frontend Manage Events</t>
  </si>
  <si>
    <t>Backend AI Agent</t>
  </si>
  <si>
    <t>Frontend AI Agent</t>
  </si>
  <si>
    <t>Backend and Frontend Avatars</t>
  </si>
  <si>
    <t>Backend Job Listings</t>
  </si>
  <si>
    <t>Frontend Job Listings</t>
  </si>
  <si>
    <t>Backend Seach Posts</t>
  </si>
  <si>
    <t>Frontend Seach Posts</t>
  </si>
  <si>
    <t>Context Diagram</t>
  </si>
  <si>
    <t>Terminar implementação</t>
  </si>
  <si>
    <t>Development View BDD</t>
  </si>
  <si>
    <t>Development View IBD</t>
  </si>
  <si>
    <t>Deployment View</t>
  </si>
  <si>
    <t>Feature Model</t>
  </si>
  <si>
    <t>Logical View</t>
  </si>
  <si>
    <t>Sequence Diagram: Search Posts/People</t>
  </si>
  <si>
    <t>Sequence Diagram: Interact with posts</t>
  </si>
  <si>
    <t>Sequence Diagram: Events</t>
  </si>
  <si>
    <t>Sequence Diagram: Jobs</t>
  </si>
  <si>
    <t>Sequence Diagram: AI assistant</t>
  </si>
  <si>
    <t>Test Backend</t>
  </si>
  <si>
    <t>Test UX</t>
  </si>
  <si>
    <t>Test UI</t>
  </si>
  <si>
    <t>Gantt Chart</t>
  </si>
  <si>
    <t>Relatório</t>
  </si>
  <si>
    <t>TASK DEPENDENCIES</t>
  </si>
  <si>
    <t>NOTA: Quero retificar o tempo que demoramos em cada tarefa, apesar de demorar uma semana tudo porque vamos fazendo as duas tarefas em simultâneo, deviamos por exemplo dizer que na semana 2 demoramos 3 dias a fazer o BPMN e depois os outros 4 dias a fazer a tarefa de começar a implementar</t>
  </si>
  <si>
    <t>TaskID</t>
  </si>
  <si>
    <t xml:space="preserve">Task Name </t>
  </si>
  <si>
    <t>Dependecy</t>
  </si>
  <si>
    <t>Duration (Days)</t>
  </si>
  <si>
    <t>Responsável</t>
  </si>
  <si>
    <t>Task Start</t>
  </si>
  <si>
    <t>Task End</t>
  </si>
  <si>
    <t>TECNOLOGIAS: react, node.js, supabase</t>
  </si>
  <si>
    <t>-</t>
  </si>
  <si>
    <t>Francisco Mendes</t>
  </si>
  <si>
    <t>Beatriz</t>
  </si>
  <si>
    <t>NOTA: Chega colocar a duração e a data de inicio que o final da tarefa é preenchido automático</t>
  </si>
  <si>
    <t>Vicente</t>
  </si>
  <si>
    <t>Francisco Jorge</t>
  </si>
  <si>
    <t xml:space="preserve">Daniel </t>
  </si>
  <si>
    <t>Task 1</t>
  </si>
  <si>
    <t>Vicente, Daniel</t>
  </si>
  <si>
    <t>Task 4, 6</t>
  </si>
  <si>
    <t xml:space="preserve">Backend Register User </t>
  </si>
  <si>
    <t>Beatriz, Francisco Jorge, Francisco Mendes</t>
  </si>
  <si>
    <t>Task 4, 8</t>
  </si>
  <si>
    <t>Functional Requirements da Task 2, 10, 11</t>
  </si>
  <si>
    <t>Task 2, 10, 11</t>
  </si>
  <si>
    <t>Functional Requirements da Task 1, 16, 17</t>
  </si>
  <si>
    <t>Task 1, 16, 17</t>
  </si>
  <si>
    <t>Functional Requirements da Task 3, 18, 19</t>
  </si>
  <si>
    <t>Task 3, 18, 19</t>
  </si>
  <si>
    <t>Functional Requirements da Task 4, 12, 13</t>
  </si>
  <si>
    <t>Task 4, 12, 13</t>
  </si>
  <si>
    <t>Task 5, 14, 15</t>
  </si>
  <si>
    <t>Todos</t>
  </si>
  <si>
    <t>Frontend Messages</t>
  </si>
  <si>
    <t>Task 6, 7</t>
  </si>
  <si>
    <t>Frontend Notifications</t>
  </si>
  <si>
    <t xml:space="preserve">- </t>
  </si>
  <si>
    <t>Frontend Posts</t>
  </si>
  <si>
    <t>Task 6</t>
  </si>
  <si>
    <t>Backend Messages</t>
  </si>
  <si>
    <t>Task 8, 9</t>
  </si>
  <si>
    <t>Backend Notifications</t>
  </si>
  <si>
    <t>Backend Posts</t>
  </si>
  <si>
    <t>BPMN Main Process</t>
  </si>
  <si>
    <t>Gant Chart</t>
  </si>
  <si>
    <t>Task 1, 8</t>
  </si>
  <si>
    <t>Task 28, 29, 31</t>
  </si>
  <si>
    <t>Task 38</t>
  </si>
  <si>
    <t>Task 40</t>
  </si>
  <si>
    <t>Task 42</t>
  </si>
  <si>
    <t>Task 28, 31</t>
  </si>
  <si>
    <t>Task 44</t>
  </si>
  <si>
    <t>Task 46</t>
  </si>
  <si>
    <t>Task 5</t>
  </si>
  <si>
    <t>Task 7</t>
  </si>
  <si>
    <t>Task 9</t>
  </si>
  <si>
    <t>Task 2,14</t>
  </si>
  <si>
    <t>Task 14</t>
  </si>
  <si>
    <t>Sequence Diagram: AI Assistant</t>
  </si>
  <si>
    <t>Semana1 Burndown Chart</t>
  </si>
  <si>
    <t>BPMN Register Accout</t>
  </si>
  <si>
    <t>BPMN get notification</t>
  </si>
  <si>
    <t>Semana2 Burndown Chart</t>
  </si>
  <si>
    <t>BPMN interagir posts</t>
  </si>
  <si>
    <t>BPMN colocar competências</t>
  </si>
  <si>
    <t>BPMN pesquisar posts ou contas</t>
  </si>
  <si>
    <t>BPMN create and reply listing</t>
  </si>
  <si>
    <t>BPMN criar ver e interagir com eventos</t>
  </si>
  <si>
    <t>BPMN criar grupos</t>
  </si>
  <si>
    <t>BPMN Descobrir novos grupos</t>
  </si>
  <si>
    <t>BPMN falar com AI…</t>
  </si>
  <si>
    <t>BPMN fazer post do teu CV anonymous</t>
  </si>
  <si>
    <t>BPMN mandar gif nos comentários</t>
  </si>
  <si>
    <t>Semana3 Burndown Chart</t>
  </si>
  <si>
    <t>Semana4 Burndown Chart</t>
  </si>
  <si>
    <t>NOTA: Fazer baseado na tabela das task dependecies, podemos fazer no fim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</si>
</sst>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/mmm/yy"/>
    <numFmt numFmtId="165" formatCode="0.0"/>
    <numFmt numFmtId="166" formatCode="d\-mmm"/>
  </numFmts>
  <fonts count="8">
    <font>
      <sz val="11"/>
      <color theme="1"/>
      <name val="Calibri"/>
      <charset val="1"/>
    </font>
    <font>
      <sz val="20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Calibri"/>
    </font>
    <font>
      <sz val="18"/>
      <color theme="1"/>
      <name val="Calibri"/>
      <family val="2"/>
      <charset val="1"/>
    </font>
    <font>
      <sz val="11"/>
      <color rgb="FF242424"/>
      <name val="Aptos Narrow"/>
      <charset val="1"/>
    </font>
  </fonts>
  <fills count="12">
    <fill>
      <patternFill patternType="none"/>
    </fill>
    <fill>
      <patternFill patternType="gray125"/>
    </fill>
    <fill>
      <patternFill patternType="solid">
        <fgColor rgb="FF548135"/>
        <bgColor rgb="FF757575"/>
      </patternFill>
    </fill>
    <fill>
      <patternFill patternType="solid">
        <fgColor rgb="FFF7CAAC"/>
        <bgColor rgb="FFF4B083"/>
      </patternFill>
    </fill>
    <fill>
      <patternFill patternType="solid">
        <fgColor rgb="FFF2F2F2"/>
        <bgColor rgb="FFE2EFD9"/>
      </patternFill>
    </fill>
    <fill>
      <patternFill patternType="solid">
        <fgColor rgb="FFD8D8D8"/>
        <bgColor rgb="FFD9D9D9"/>
      </patternFill>
    </fill>
    <fill>
      <patternFill patternType="solid">
        <fgColor theme="0"/>
        <bgColor rgb="FFF2F2F2"/>
      </patternFill>
    </fill>
    <fill>
      <patternFill patternType="solid">
        <fgColor rgb="FFFEF2CB"/>
        <bgColor rgb="FFF2F2F2"/>
      </patternFill>
    </fill>
    <fill>
      <patternFill patternType="solid">
        <fgColor rgb="FFB4C6E7"/>
        <bgColor rgb="FFB7B7B7"/>
      </patternFill>
    </fill>
    <fill>
      <patternFill patternType="solid">
        <fgColor rgb="FFC5E0B3"/>
        <bgColor rgb="FFD8D8D8"/>
      </patternFill>
    </fill>
    <fill>
      <patternFill patternType="solid">
        <fgColor rgb="FFF4B083"/>
        <bgColor rgb="FFF7CAAC"/>
      </patternFill>
    </fill>
    <fill>
      <patternFill patternType="solid">
        <fgColor rgb="FFE2EFD9"/>
        <bgColor rgb="FFF2F2F2"/>
      </patternFill>
    </fill>
  </fills>
  <borders count="5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rgb="FF111111"/>
      </left>
      <right/>
      <top style="medium">
        <color rgb="FF111111"/>
      </top>
      <bottom/>
      <diagonal/>
    </border>
    <border>
      <left/>
      <right/>
      <top style="medium">
        <color rgb="FF111111"/>
      </top>
      <bottom/>
      <diagonal/>
    </border>
    <border>
      <left/>
      <right style="medium">
        <color rgb="FF111111"/>
      </right>
      <top style="medium">
        <color rgb="FF111111"/>
      </top>
      <bottom style="medium">
        <color rgb="FF111111"/>
      </bottom>
      <diagonal/>
    </border>
    <border>
      <left style="medium">
        <color rgb="FF111111"/>
      </left>
      <right style="thin">
        <color rgb="FF111111"/>
      </right>
      <top style="medium">
        <color rgb="FF111111"/>
      </top>
      <bottom style="thin">
        <color rgb="FF111111"/>
      </bottom>
      <diagonal/>
    </border>
    <border>
      <left style="thin">
        <color rgb="FF111111"/>
      </left>
      <right style="thin">
        <color rgb="FF111111"/>
      </right>
      <top style="medium">
        <color rgb="FF111111"/>
      </top>
      <bottom style="thin">
        <color rgb="FF111111"/>
      </bottom>
      <diagonal/>
    </border>
    <border>
      <left style="thin">
        <color rgb="FF111111"/>
      </left>
      <right style="medium">
        <color rgb="FF111111"/>
      </right>
      <top/>
      <bottom style="thin">
        <color rgb="FF111111"/>
      </bottom>
      <diagonal/>
    </border>
    <border>
      <left style="medium">
        <color rgb="FF111111"/>
      </left>
      <right style="thin">
        <color rgb="FF111111"/>
      </right>
      <top style="thin">
        <color rgb="FF111111"/>
      </top>
      <bottom style="thin">
        <color rgb="FF111111"/>
      </bottom>
      <diagonal/>
    </border>
    <border>
      <left style="thin">
        <color rgb="FF111111"/>
      </left>
      <right style="thin">
        <color rgb="FF111111"/>
      </right>
      <top style="thin">
        <color rgb="FF111111"/>
      </top>
      <bottom style="thin">
        <color rgb="FF111111"/>
      </bottom>
      <diagonal/>
    </border>
    <border>
      <left style="medium">
        <color rgb="FF111111"/>
      </left>
      <right style="thin">
        <color rgb="FF111111"/>
      </right>
      <top style="thin">
        <color rgb="FF111111"/>
      </top>
      <bottom/>
      <diagonal/>
    </border>
    <border>
      <left style="thin">
        <color rgb="FF111111"/>
      </left>
      <right style="thin">
        <color rgb="FF111111"/>
      </right>
      <top style="thin">
        <color rgb="FF11111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rgb="FF111111"/>
      </right>
      <top style="medium">
        <color rgb="FF111111"/>
      </top>
      <bottom/>
      <diagonal/>
    </border>
    <border>
      <left style="medium">
        <color rgb="FF111111"/>
      </left>
      <right style="thin">
        <color rgb="FF111111"/>
      </right>
      <top style="medium">
        <color rgb="FF000000"/>
      </top>
      <bottom/>
      <diagonal/>
    </border>
    <border>
      <left style="thin">
        <color rgb="FF111111"/>
      </left>
      <right style="thin">
        <color rgb="FF111111"/>
      </right>
      <top style="medium">
        <color rgb="FF000000"/>
      </top>
      <bottom style="thin">
        <color rgb="FF111111"/>
      </bottom>
      <diagonal/>
    </border>
    <border>
      <left style="thin">
        <color rgb="FF111111"/>
      </left>
      <right style="thin">
        <color rgb="FF111111"/>
      </right>
      <top style="medium">
        <color rgb="FF000000"/>
      </top>
      <bottom/>
      <diagonal/>
    </border>
    <border>
      <left style="thin">
        <color rgb="FF111111"/>
      </left>
      <right style="medium">
        <color rgb="FF111111"/>
      </right>
      <top style="medium">
        <color rgb="FF000000"/>
      </top>
      <bottom style="thin">
        <color rgb="FF111111"/>
      </bottom>
      <diagonal/>
    </border>
    <border>
      <left style="medium">
        <color rgb="FF111111"/>
      </left>
      <right style="thin">
        <color rgb="FF111111"/>
      </right>
      <top style="thin">
        <color rgb="FF111111"/>
      </top>
      <bottom style="medium">
        <color rgb="FF000000"/>
      </bottom>
      <diagonal/>
    </border>
    <border>
      <left style="thin">
        <color rgb="FF111111"/>
      </left>
      <right style="thin">
        <color rgb="FF111111"/>
      </right>
      <top style="thin">
        <color rgb="FF111111"/>
      </top>
      <bottom style="medium">
        <color rgb="FF000000"/>
      </bottom>
      <diagonal/>
    </border>
    <border>
      <left style="thin">
        <color rgb="FF111111"/>
      </left>
      <right style="medium">
        <color rgb="FF111111"/>
      </right>
      <top/>
      <bottom style="medium">
        <color rgb="FF000000"/>
      </bottom>
      <diagonal/>
    </border>
  </borders>
  <cellStyleXfs count="1">
    <xf numFmtId="0" fontId="0" fillId="0" borderId="0"/>
  </cellStyleXfs>
  <cellXfs count="124">
    <xf numFmtId="0" fontId="0" fillId="0" borderId="0" xfId="0"/>
    <xf numFmtId="0" fontId="2" fillId="0" borderId="3" xfId="0" applyFont="1" applyBorder="1"/>
    <xf numFmtId="164" fontId="3" fillId="3" borderId="7" xfId="0" applyNumberFormat="1" applyFont="1" applyFill="1" applyBorder="1" applyAlignment="1">
      <alignment horizontal="center"/>
    </xf>
    <xf numFmtId="164" fontId="3" fillId="3" borderId="8" xfId="0" applyNumberFormat="1" applyFont="1" applyFill="1" applyBorder="1" applyAlignment="1">
      <alignment horizontal="center"/>
    </xf>
    <xf numFmtId="0" fontId="3" fillId="3" borderId="9" xfId="0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2" fillId="0" borderId="0" xfId="0" applyFont="1"/>
    <xf numFmtId="0" fontId="2" fillId="4" borderId="7" xfId="0" applyFont="1" applyFill="1" applyBorder="1"/>
    <xf numFmtId="0" fontId="2" fillId="4" borderId="8" xfId="0" applyFont="1" applyFill="1" applyBorder="1"/>
    <xf numFmtId="0" fontId="2" fillId="5" borderId="12" xfId="0" applyFont="1" applyFill="1" applyBorder="1" applyAlignment="1">
      <alignment horizontal="center"/>
    </xf>
    <xf numFmtId="0" fontId="2" fillId="6" borderId="13" xfId="0" applyFont="1" applyFill="1" applyBorder="1" applyAlignment="1">
      <alignment horizontal="center"/>
    </xf>
    <xf numFmtId="0" fontId="2" fillId="6" borderId="14" xfId="0" applyFont="1" applyFill="1" applyBorder="1" applyAlignment="1">
      <alignment horizontal="center"/>
    </xf>
    <xf numFmtId="0" fontId="2" fillId="6" borderId="15" xfId="0" applyFont="1" applyFill="1" applyBorder="1" applyAlignment="1">
      <alignment horizontal="center"/>
    </xf>
    <xf numFmtId="0" fontId="2" fillId="4" borderId="16" xfId="0" applyFont="1" applyFill="1" applyBorder="1"/>
    <xf numFmtId="0" fontId="2" fillId="4" borderId="17" xfId="0" applyFont="1" applyFill="1" applyBorder="1"/>
    <xf numFmtId="0" fontId="2" fillId="6" borderId="16" xfId="0" applyFont="1" applyFill="1" applyBorder="1" applyAlignment="1">
      <alignment horizont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2" fillId="4" borderId="13" xfId="0" applyFont="1" applyFill="1" applyBorder="1"/>
    <xf numFmtId="0" fontId="2" fillId="6" borderId="17" xfId="0" applyFont="1" applyFill="1" applyBorder="1"/>
    <xf numFmtId="0" fontId="2" fillId="5" borderId="15" xfId="0" applyFont="1" applyFill="1" applyBorder="1" applyAlignment="1">
      <alignment horizontal="center"/>
    </xf>
    <xf numFmtId="0" fontId="2" fillId="6" borderId="18" xfId="0" applyFont="1" applyFill="1" applyBorder="1" applyAlignment="1">
      <alignment horizontal="center"/>
    </xf>
    <xf numFmtId="0" fontId="2" fillId="6" borderId="19" xfId="0" applyFont="1" applyFill="1" applyBorder="1"/>
    <xf numFmtId="0" fontId="2" fillId="4" borderId="20" xfId="0" applyFont="1" applyFill="1" applyBorder="1"/>
    <xf numFmtId="0" fontId="2" fillId="6" borderId="21" xfId="0" applyFont="1" applyFill="1" applyBorder="1" applyAlignment="1">
      <alignment horizontal="center"/>
    </xf>
    <xf numFmtId="0" fontId="2" fillId="6" borderId="19" xfId="0" applyFont="1" applyFill="1" applyBorder="1" applyAlignment="1">
      <alignment horizontal="center"/>
    </xf>
    <xf numFmtId="0" fontId="2" fillId="6" borderId="22" xfId="0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/>
    </xf>
    <xf numFmtId="0" fontId="2" fillId="7" borderId="7" xfId="0" applyFont="1" applyFill="1" applyBorder="1" applyAlignment="1">
      <alignment horizontal="center"/>
    </xf>
    <xf numFmtId="0" fontId="2" fillId="7" borderId="8" xfId="0" applyFont="1" applyFill="1" applyBorder="1" applyAlignment="1">
      <alignment horizontal="center"/>
    </xf>
    <xf numFmtId="0" fontId="2" fillId="7" borderId="24" xfId="0" applyFont="1" applyFill="1" applyBorder="1" applyAlignment="1">
      <alignment horizontal="center"/>
    </xf>
    <xf numFmtId="0" fontId="2" fillId="8" borderId="25" xfId="0" applyFont="1" applyFill="1" applyBorder="1" applyAlignment="1">
      <alignment horizontal="center"/>
    </xf>
    <xf numFmtId="165" fontId="2" fillId="8" borderId="16" xfId="0" applyNumberFormat="1" applyFont="1" applyFill="1" applyBorder="1" applyAlignment="1">
      <alignment horizontal="center"/>
    </xf>
    <xf numFmtId="165" fontId="2" fillId="8" borderId="17" xfId="0" applyNumberFormat="1" applyFont="1" applyFill="1" applyBorder="1" applyAlignment="1">
      <alignment horizontal="center"/>
    </xf>
    <xf numFmtId="165" fontId="2" fillId="8" borderId="12" xfId="0" applyNumberFormat="1" applyFont="1" applyFill="1" applyBorder="1" applyAlignment="1">
      <alignment horizontal="center"/>
    </xf>
    <xf numFmtId="0" fontId="2" fillId="9" borderId="26" xfId="0" applyFont="1" applyFill="1" applyBorder="1" applyAlignment="1">
      <alignment horizontal="center"/>
    </xf>
    <xf numFmtId="165" fontId="2" fillId="9" borderId="9" xfId="0" applyNumberFormat="1" applyFont="1" applyFill="1" applyBorder="1" applyAlignment="1">
      <alignment horizontal="center"/>
    </xf>
    <xf numFmtId="165" fontId="2" fillId="9" borderId="10" xfId="0" applyNumberFormat="1" applyFont="1" applyFill="1" applyBorder="1" applyAlignment="1">
      <alignment horizontal="center"/>
    </xf>
    <xf numFmtId="165" fontId="2" fillId="9" borderId="11" xfId="0" applyNumberFormat="1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2" fillId="0" borderId="28" xfId="0" applyFont="1" applyBorder="1"/>
    <xf numFmtId="0" fontId="0" fillId="0" borderId="29" xfId="0" applyBorder="1"/>
    <xf numFmtId="0" fontId="4" fillId="4" borderId="17" xfId="0" applyFont="1" applyFill="1" applyBorder="1"/>
    <xf numFmtId="0" fontId="4" fillId="6" borderId="17" xfId="0" applyFont="1" applyFill="1" applyBorder="1"/>
    <xf numFmtId="0" fontId="0" fillId="0" borderId="17" xfId="0" applyFont="1" applyBorder="1"/>
    <xf numFmtId="0" fontId="0" fillId="0" borderId="17" xfId="0" applyBorder="1" applyAlignment="1">
      <alignment horizontal="center"/>
    </xf>
    <xf numFmtId="0" fontId="5" fillId="0" borderId="17" xfId="0" applyFont="1" applyBorder="1"/>
    <xf numFmtId="0" fontId="2" fillId="0" borderId="20" xfId="0" applyFont="1" applyBorder="1"/>
    <xf numFmtId="0" fontId="2" fillId="0" borderId="30" xfId="0" applyFont="1" applyBorder="1"/>
    <xf numFmtId="0" fontId="2" fillId="0" borderId="34" xfId="0" applyFont="1" applyBorder="1"/>
    <xf numFmtId="0" fontId="2" fillId="0" borderId="35" xfId="0" applyFont="1" applyBorder="1"/>
    <xf numFmtId="0" fontId="2" fillId="0" borderId="35" xfId="0" applyFont="1" applyBorder="1" applyAlignment="1">
      <alignment horizontal="center"/>
    </xf>
    <xf numFmtId="166" fontId="2" fillId="0" borderId="35" xfId="0" applyNumberFormat="1" applyFont="1" applyBorder="1" applyAlignment="1">
      <alignment horizontal="center"/>
    </xf>
    <xf numFmtId="166" fontId="2" fillId="0" borderId="36" xfId="0" applyNumberFormat="1" applyFont="1" applyBorder="1" applyAlignment="1">
      <alignment horizontal="center"/>
    </xf>
    <xf numFmtId="0" fontId="2" fillId="0" borderId="37" xfId="0" applyFont="1" applyBorder="1"/>
    <xf numFmtId="0" fontId="2" fillId="0" borderId="38" xfId="0" applyFont="1" applyBorder="1"/>
    <xf numFmtId="0" fontId="2" fillId="0" borderId="38" xfId="0" applyFont="1" applyBorder="1" applyAlignment="1">
      <alignment horizontal="center"/>
    </xf>
    <xf numFmtId="166" fontId="2" fillId="0" borderId="38" xfId="0" applyNumberFormat="1" applyFont="1" applyBorder="1" applyAlignment="1">
      <alignment horizontal="center"/>
    </xf>
    <xf numFmtId="0" fontId="2" fillId="0" borderId="38" xfId="0" applyFont="1" applyBorder="1" applyAlignment="1">
      <alignment horizontal="center" vertical="top" wrapText="1"/>
    </xf>
    <xf numFmtId="0" fontId="2" fillId="0" borderId="38" xfId="0" applyFont="1" applyBorder="1" applyAlignment="1">
      <alignment horizontal="center" wrapText="1"/>
    </xf>
    <xf numFmtId="0" fontId="2" fillId="0" borderId="39" xfId="0" applyFont="1" applyBorder="1"/>
    <xf numFmtId="0" fontId="2" fillId="0" borderId="40" xfId="0" applyFont="1" applyBorder="1"/>
    <xf numFmtId="0" fontId="2" fillId="0" borderId="40" xfId="0" applyFont="1" applyBorder="1" applyAlignment="1">
      <alignment horizontal="center"/>
    </xf>
    <xf numFmtId="166" fontId="2" fillId="0" borderId="40" xfId="0" applyNumberFormat="1" applyFont="1" applyBorder="1" applyAlignment="1">
      <alignment horizontal="center"/>
    </xf>
    <xf numFmtId="0" fontId="0" fillId="0" borderId="38" xfId="0" applyBorder="1" applyAlignment="1">
      <alignment horizontal="center"/>
    </xf>
    <xf numFmtId="166" fontId="2" fillId="0" borderId="19" xfId="0" applyNumberFormat="1" applyFont="1" applyBorder="1" applyAlignment="1">
      <alignment horizontal="center"/>
    </xf>
    <xf numFmtId="0" fontId="2" fillId="0" borderId="17" xfId="0" applyFont="1" applyBorder="1"/>
    <xf numFmtId="0" fontId="4" fillId="0" borderId="17" xfId="0" applyFont="1" applyBorder="1"/>
    <xf numFmtId="0" fontId="5" fillId="0" borderId="38" xfId="0" applyFont="1" applyBorder="1" applyAlignment="1">
      <alignment horizontal="center"/>
    </xf>
    <xf numFmtId="0" fontId="2" fillId="0" borderId="16" xfId="0" applyFont="1" applyBorder="1"/>
    <xf numFmtId="0" fontId="2" fillId="0" borderId="9" xfId="0" applyFont="1" applyBorder="1"/>
    <xf numFmtId="0" fontId="5" fillId="0" borderId="10" xfId="0" applyFont="1" applyBorder="1"/>
    <xf numFmtId="0" fontId="0" fillId="0" borderId="10" xfId="0" applyFont="1" applyBorder="1" applyAlignment="1">
      <alignment horizontal="center"/>
    </xf>
    <xf numFmtId="166" fontId="2" fillId="0" borderId="10" xfId="0" applyNumberFormat="1" applyFont="1" applyBorder="1" applyAlignment="1">
      <alignment horizontal="center"/>
    </xf>
    <xf numFmtId="166" fontId="2" fillId="0" borderId="11" xfId="0" applyNumberFormat="1" applyFont="1" applyBorder="1" applyAlignment="1">
      <alignment horizontal="center"/>
    </xf>
    <xf numFmtId="0" fontId="2" fillId="7" borderId="42" xfId="0" applyFont="1" applyFill="1" applyBorder="1" applyAlignment="1">
      <alignment horizontal="center"/>
    </xf>
    <xf numFmtId="0" fontId="2" fillId="0" borderId="27" xfId="0" applyFont="1" applyBorder="1"/>
    <xf numFmtId="165" fontId="2" fillId="8" borderId="14" xfId="0" applyNumberFormat="1" applyFont="1" applyFill="1" applyBorder="1" applyAlignment="1">
      <alignment horizontal="center"/>
    </xf>
    <xf numFmtId="164" fontId="3" fillId="3" borderId="24" xfId="0" applyNumberFormat="1" applyFont="1" applyFill="1" applyBorder="1" applyAlignment="1">
      <alignment horizontal="center"/>
    </xf>
    <xf numFmtId="0" fontId="2" fillId="4" borderId="16" xfId="0" applyFont="1" applyFill="1" applyBorder="1" applyAlignment="1">
      <alignment horizontal="right" wrapText="1"/>
    </xf>
    <xf numFmtId="0" fontId="2" fillId="4" borderId="17" xfId="0" applyFont="1" applyFill="1" applyBorder="1" applyAlignment="1">
      <alignment wrapText="1"/>
    </xf>
    <xf numFmtId="0" fontId="2" fillId="6" borderId="43" xfId="0" applyFont="1" applyFill="1" applyBorder="1" applyAlignment="1">
      <alignment horizontal="center"/>
    </xf>
    <xf numFmtId="0" fontId="2" fillId="4" borderId="17" xfId="0" applyFont="1" applyFill="1" applyBorder="1" applyAlignment="1">
      <alignment horizontal="left" wrapText="1"/>
    </xf>
    <xf numFmtId="0" fontId="2" fillId="7" borderId="44" xfId="0" applyFont="1" applyFill="1" applyBorder="1" applyAlignment="1">
      <alignment horizontal="center"/>
    </xf>
    <xf numFmtId="165" fontId="2" fillId="8" borderId="15" xfId="0" applyNumberFormat="1" applyFont="1" applyFill="1" applyBorder="1" applyAlignment="1">
      <alignment horizontal="center"/>
    </xf>
    <xf numFmtId="0" fontId="2" fillId="7" borderId="45" xfId="0" applyFont="1" applyFill="1" applyBorder="1" applyAlignment="1">
      <alignment horizontal="center"/>
    </xf>
    <xf numFmtId="165" fontId="2" fillId="8" borderId="43" xfId="0" applyNumberFormat="1" applyFont="1" applyFill="1" applyBorder="1" applyAlignment="1">
      <alignment horizontal="center"/>
    </xf>
    <xf numFmtId="165" fontId="2" fillId="9" borderId="46" xfId="0" applyNumberFormat="1" applyFont="1" applyFill="1" applyBorder="1" applyAlignment="1">
      <alignment horizontal="center"/>
    </xf>
    <xf numFmtId="0" fontId="2" fillId="0" borderId="0" xfId="0" applyFont="1" applyBorder="1"/>
    <xf numFmtId="0" fontId="5" fillId="0" borderId="0" xfId="0" applyFont="1" applyBorder="1"/>
    <xf numFmtId="0" fontId="0" fillId="0" borderId="0" xfId="0" applyFont="1" applyBorder="1" applyAlignment="1">
      <alignment horizontal="center"/>
    </xf>
    <xf numFmtId="166" fontId="2" fillId="0" borderId="0" xfId="0" applyNumberFormat="1" applyFont="1" applyBorder="1" applyAlignment="1">
      <alignment horizontal="center"/>
    </xf>
    <xf numFmtId="0" fontId="7" fillId="0" borderId="0" xfId="0" applyFont="1"/>
    <xf numFmtId="0" fontId="2" fillId="0" borderId="50" xfId="0" applyFont="1" applyBorder="1"/>
    <xf numFmtId="0" fontId="2" fillId="0" borderId="51" xfId="0" applyFont="1" applyBorder="1"/>
    <xf numFmtId="0" fontId="2" fillId="0" borderId="51" xfId="0" applyFont="1" applyBorder="1" applyAlignment="1">
      <alignment horizontal="center"/>
    </xf>
    <xf numFmtId="0" fontId="0" fillId="0" borderId="51" xfId="0" applyBorder="1" applyAlignment="1">
      <alignment horizontal="center"/>
    </xf>
    <xf numFmtId="166" fontId="2" fillId="0" borderId="52" xfId="0" applyNumberFormat="1" applyFont="1" applyBorder="1" applyAlignment="1">
      <alignment horizontal="center"/>
    </xf>
    <xf numFmtId="166" fontId="2" fillId="0" borderId="53" xfId="0" applyNumberFormat="1" applyFont="1" applyBorder="1" applyAlignment="1">
      <alignment horizontal="center"/>
    </xf>
    <xf numFmtId="0" fontId="2" fillId="0" borderId="54" xfId="0" applyFont="1" applyBorder="1"/>
    <xf numFmtId="0" fontId="2" fillId="0" borderId="55" xfId="0" applyFont="1" applyBorder="1"/>
    <xf numFmtId="0" fontId="2" fillId="0" borderId="55" xfId="0" applyFont="1" applyBorder="1" applyAlignment="1">
      <alignment horizontal="center"/>
    </xf>
    <xf numFmtId="166" fontId="2" fillId="0" borderId="55" xfId="0" applyNumberFormat="1" applyFont="1" applyBorder="1" applyAlignment="1">
      <alignment horizontal="center"/>
    </xf>
    <xf numFmtId="166" fontId="2" fillId="0" borderId="56" xfId="0" applyNumberFormat="1" applyFont="1" applyBorder="1" applyAlignment="1">
      <alignment horizontal="center"/>
    </xf>
    <xf numFmtId="0" fontId="3" fillId="7" borderId="7" xfId="0" applyFont="1" applyFill="1" applyBorder="1" applyAlignment="1">
      <alignment horizontal="center" wrapText="1"/>
    </xf>
    <xf numFmtId="0" fontId="3" fillId="8" borderId="16" xfId="0" applyFont="1" applyFill="1" applyBorder="1" applyAlignment="1">
      <alignment horizontal="center"/>
    </xf>
    <xf numFmtId="0" fontId="3" fillId="9" borderId="9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3" fillId="3" borderId="47" xfId="0" applyFont="1" applyFill="1" applyBorder="1" applyAlignment="1">
      <alignment horizontal="center" vertical="center"/>
    </xf>
    <xf numFmtId="0" fontId="3" fillId="3" borderId="48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/>
    </xf>
    <xf numFmtId="0" fontId="2" fillId="11" borderId="31" xfId="0" applyFont="1" applyFill="1" applyBorder="1" applyAlignment="1">
      <alignment horizontal="center" vertical="center"/>
    </xf>
    <xf numFmtId="0" fontId="2" fillId="11" borderId="32" xfId="0" applyFont="1" applyFill="1" applyBorder="1" applyAlignment="1">
      <alignment horizontal="center" vertical="center"/>
    </xf>
    <xf numFmtId="0" fontId="2" fillId="11" borderId="33" xfId="0" applyFont="1" applyFill="1" applyBorder="1" applyAlignment="1">
      <alignment horizontal="center" vertical="center"/>
    </xf>
    <xf numFmtId="0" fontId="2" fillId="11" borderId="49" xfId="0" applyFont="1" applyFill="1" applyBorder="1" applyAlignment="1">
      <alignment horizontal="center" vertical="center"/>
    </xf>
    <xf numFmtId="0" fontId="1" fillId="2" borderId="41" xfId="0" applyFont="1" applyFill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3" fillId="3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135"/>
      <rgbColor rgb="FF800080"/>
      <rgbColor rgb="FF008080"/>
      <rgbColor rgb="FFB7B7B7"/>
      <rgbColor rgb="FF757575"/>
      <rgbColor rgb="FF5B9BD5"/>
      <rgbColor rgb="FF993366"/>
      <rgbColor rgb="FFFEF2CB"/>
      <rgbColor rgb="FFF2F2F2"/>
      <rgbColor rgb="FF660066"/>
      <rgbColor rgb="FFFF80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D9D9D9"/>
      <rgbColor rgb="FFE2EFD9"/>
      <rgbColor rgb="FFC5E0B3"/>
      <rgbColor rgb="FFD8D8D8"/>
      <rgbColor rgb="FFF4B083"/>
      <rgbColor rgb="FFCC99FF"/>
      <rgbColor rgb="FFF7CAAC"/>
      <rgbColor rgb="FF3366FF"/>
      <rgbColor rgb="FF33CCCC"/>
      <rgbColor rgb="FF92D050"/>
      <rgbColor rgb="FFFFC000"/>
      <rgbColor rgb="FFFF9900"/>
      <rgbColor rgb="FFFF6600"/>
      <rgbColor rgb="FF666699"/>
      <rgbColor rgb="FF8B8B8B"/>
      <rgbColor rgb="FF003366"/>
      <rgbColor rgb="FF70AD47"/>
      <rgbColor rgb="FF111111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c:style val="2"/>
  <c:chart>
    <c:title>
      <c:tx>
        <c:rich>
          <a:bodyPr rot="0"/>
          <a:lstStyle/>
          <a:p>
            <a:pPr>
              <a:defRPr lang="en-US" sz="1400" b="0" strike="noStrike" spc="-1">
                <a:solidFill>
                  <a:srgbClr val="757575"/>
                </a:solidFill>
                <a:latin typeface="Calibri"/>
                <a:ea typeface="Calibri"/>
              </a:defRPr>
            </a:pPr>
            <a:r>
              <a:rPr lang="en-US" sz="1400" b="0" strike="noStrike" spc="-1">
                <a:solidFill>
                  <a:srgbClr val="757575"/>
                </a:solidFill>
                <a:latin typeface="Calibri"/>
                <a:ea typeface="Calibri"/>
              </a:rPr>
              <a:t>First 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"Completed Effort"</c:f>
              <c:strCache>
                <c:ptCount val="1"/>
                <c:pt idx="0">
                  <c:v>Completed Effort</c:v>
                </c:pt>
              </c:strCache>
            </c:strRef>
          </c:tx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Sprint1'!$C$41:$AG$41</c:f>
              <c:numCache>
                <c:formatCode>General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7</c:v>
                </c:pt>
                <c:pt idx="6">
                  <c:v>10</c:v>
                </c:pt>
                <c:pt idx="7">
                  <c:v>4</c:v>
                </c:pt>
                <c:pt idx="8">
                  <c:v>4</c:v>
                </c:pt>
                <c:pt idx="9">
                  <c:v>6</c:v>
                </c:pt>
                <c:pt idx="10">
                  <c:v>8</c:v>
                </c:pt>
                <c:pt idx="11">
                  <c:v>7</c:v>
                </c:pt>
                <c:pt idx="12">
                  <c:v>5</c:v>
                </c:pt>
                <c:pt idx="13">
                  <c:v>6</c:v>
                </c:pt>
                <c:pt idx="14">
                  <c:v>4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2</c:v>
                </c:pt>
                <c:pt idx="19">
                  <c:v>5</c:v>
                </c:pt>
                <c:pt idx="20">
                  <c:v>6</c:v>
                </c:pt>
                <c:pt idx="21">
                  <c:v>14</c:v>
                </c:pt>
                <c:pt idx="22">
                  <c:v>15</c:v>
                </c:pt>
                <c:pt idx="23">
                  <c:v>15</c:v>
                </c:pt>
                <c:pt idx="24">
                  <c:v>12</c:v>
                </c:pt>
                <c:pt idx="25">
                  <c:v>9</c:v>
                </c:pt>
                <c:pt idx="26">
                  <c:v>9</c:v>
                </c:pt>
                <c:pt idx="27">
                  <c:v>1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1F-4389-9D89-2C48AC443A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545903"/>
        <c:axId val="19601782"/>
      </c:barChart>
      <c:lineChart>
        <c:grouping val="standard"/>
        <c:varyColors val="0"/>
        <c:ser>
          <c:idx val="1"/>
          <c:order val="1"/>
          <c:tx>
            <c:strRef>
              <c:f>"Remaining Effort"</c:f>
              <c:strCache>
                <c:ptCount val="1"/>
                <c:pt idx="0">
                  <c:v>Remaining Effort</c:v>
                </c:pt>
              </c:strCache>
            </c:strRef>
          </c:tx>
          <c:spPr>
            <a:ln w="28440">
              <a:solidFill>
                <a:srgbClr val="00B0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Sprint1'!$D$42:$AG$42</c:f>
              <c:numCache>
                <c:formatCode>0.0</c:formatCode>
                <c:ptCount val="30"/>
                <c:pt idx="0" formatCode="General">
                  <c:v>156</c:v>
                </c:pt>
                <c:pt idx="1">
                  <c:v>156</c:v>
                </c:pt>
                <c:pt idx="2">
                  <c:v>156</c:v>
                </c:pt>
                <c:pt idx="3">
                  <c:v>151</c:v>
                </c:pt>
                <c:pt idx="4">
                  <c:v>144</c:v>
                </c:pt>
                <c:pt idx="5">
                  <c:v>134</c:v>
                </c:pt>
                <c:pt idx="6">
                  <c:v>130</c:v>
                </c:pt>
                <c:pt idx="7">
                  <c:v>126</c:v>
                </c:pt>
                <c:pt idx="8">
                  <c:v>120</c:v>
                </c:pt>
                <c:pt idx="9">
                  <c:v>112</c:v>
                </c:pt>
                <c:pt idx="10">
                  <c:v>105</c:v>
                </c:pt>
                <c:pt idx="11">
                  <c:v>100</c:v>
                </c:pt>
                <c:pt idx="12">
                  <c:v>94</c:v>
                </c:pt>
                <c:pt idx="13">
                  <c:v>90</c:v>
                </c:pt>
                <c:pt idx="14">
                  <c:v>90</c:v>
                </c:pt>
                <c:pt idx="15">
                  <c:v>90</c:v>
                </c:pt>
                <c:pt idx="16">
                  <c:v>88</c:v>
                </c:pt>
                <c:pt idx="17">
                  <c:v>86</c:v>
                </c:pt>
                <c:pt idx="18">
                  <c:v>81</c:v>
                </c:pt>
                <c:pt idx="19">
                  <c:v>75</c:v>
                </c:pt>
                <c:pt idx="20">
                  <c:v>61</c:v>
                </c:pt>
                <c:pt idx="21">
                  <c:v>46</c:v>
                </c:pt>
                <c:pt idx="22">
                  <c:v>31</c:v>
                </c:pt>
                <c:pt idx="23">
                  <c:v>19</c:v>
                </c:pt>
                <c:pt idx="24">
                  <c:v>10</c:v>
                </c:pt>
                <c:pt idx="25">
                  <c:v>1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1F-4389-9D89-2C48AC443A86}"/>
            </c:ext>
          </c:extLst>
        </c:ser>
        <c:ser>
          <c:idx val="2"/>
          <c:order val="2"/>
          <c:tx>
            <c:strRef>
              <c:f>"Ideal Burndown"</c:f>
              <c:strCache>
                <c:ptCount val="1"/>
                <c:pt idx="0">
                  <c:v>Ideal Burndown</c:v>
                </c:pt>
              </c:strCache>
            </c:strRef>
          </c:tx>
          <c:spPr>
            <a:ln w="28440">
              <a:solidFill>
                <a:srgbClr val="92D05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Sprint1'!$D$43:$AG$43</c:f>
              <c:numCache>
                <c:formatCode>0.0</c:formatCode>
                <c:ptCount val="30"/>
                <c:pt idx="0" formatCode="General">
                  <c:v>156</c:v>
                </c:pt>
                <c:pt idx="1">
                  <c:v>150.62068965517241</c:v>
                </c:pt>
                <c:pt idx="2">
                  <c:v>145.24137931034483</c:v>
                </c:pt>
                <c:pt idx="3">
                  <c:v>139.86206896551724</c:v>
                </c:pt>
                <c:pt idx="4">
                  <c:v>134.48275862068965</c:v>
                </c:pt>
                <c:pt idx="5">
                  <c:v>129.10344827586206</c:v>
                </c:pt>
                <c:pt idx="6">
                  <c:v>123.72413793103448</c:v>
                </c:pt>
                <c:pt idx="7">
                  <c:v>118.34482758620689</c:v>
                </c:pt>
                <c:pt idx="8">
                  <c:v>112.9655172413793</c:v>
                </c:pt>
                <c:pt idx="9">
                  <c:v>107.58620689655172</c:v>
                </c:pt>
                <c:pt idx="10">
                  <c:v>102.20689655172413</c:v>
                </c:pt>
                <c:pt idx="11">
                  <c:v>96.827586206896541</c:v>
                </c:pt>
                <c:pt idx="12">
                  <c:v>91.448275862068968</c:v>
                </c:pt>
                <c:pt idx="13">
                  <c:v>86.068965517241381</c:v>
                </c:pt>
                <c:pt idx="14">
                  <c:v>80.689655172413794</c:v>
                </c:pt>
                <c:pt idx="15">
                  <c:v>75.310344827586206</c:v>
                </c:pt>
                <c:pt idx="16">
                  <c:v>69.931034482758619</c:v>
                </c:pt>
                <c:pt idx="17">
                  <c:v>64.551724137931032</c:v>
                </c:pt>
                <c:pt idx="18">
                  <c:v>59.172413793103445</c:v>
                </c:pt>
                <c:pt idx="19">
                  <c:v>53.793103448275858</c:v>
                </c:pt>
                <c:pt idx="20">
                  <c:v>48.41379310344827</c:v>
                </c:pt>
                <c:pt idx="21">
                  <c:v>43.034482758620683</c:v>
                </c:pt>
                <c:pt idx="22">
                  <c:v>37.655172413793096</c:v>
                </c:pt>
                <c:pt idx="23">
                  <c:v>32.275862068965509</c:v>
                </c:pt>
                <c:pt idx="24">
                  <c:v>26.896551724137936</c:v>
                </c:pt>
                <c:pt idx="25">
                  <c:v>21.517241379310349</c:v>
                </c:pt>
                <c:pt idx="26">
                  <c:v>16.137931034482762</c:v>
                </c:pt>
                <c:pt idx="27">
                  <c:v>10.758620689655174</c:v>
                </c:pt>
                <c:pt idx="28">
                  <c:v>5.3793103448275872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1F-4389-9D89-2C48AC443A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0545903"/>
        <c:axId val="19601782"/>
      </c:lineChart>
      <c:catAx>
        <c:axId val="1054590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19601782"/>
        <c:crosses val="autoZero"/>
        <c:auto val="1"/>
        <c:lblAlgn val="ctr"/>
        <c:lblOffset val="100"/>
        <c:noMultiLvlLbl val="0"/>
      </c:catAx>
      <c:valAx>
        <c:axId val="19601782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1054590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Calibri"/>
              <a:ea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c:style val="2"/>
  <c:chart>
    <c:title>
      <c:tx>
        <c:rich>
          <a:bodyPr rot="0"/>
          <a:lstStyle/>
          <a:p>
            <a:pPr>
              <a:defRPr lang="en-US" sz="1400" b="0" strike="noStrike" spc="-1">
                <a:solidFill>
                  <a:srgbClr val="757575"/>
                </a:solidFill>
                <a:latin typeface="Calibri"/>
                <a:ea typeface="Calibri"/>
              </a:defRPr>
            </a:pPr>
            <a:r>
              <a:rPr lang="en-US" sz="1400" b="0" strike="noStrike" spc="-1">
                <a:solidFill>
                  <a:srgbClr val="757575"/>
                </a:solidFill>
                <a:latin typeface="Calibri"/>
                <a:ea typeface="Calibri"/>
              </a:rPr>
              <a:t>Second 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"Completed Effort"</c:f>
              <c:strCache>
                <c:ptCount val="1"/>
                <c:pt idx="0">
                  <c:v>Completed Effort</c:v>
                </c:pt>
              </c:strCache>
            </c:strRef>
          </c:tx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Sprint 2'!$D$41:$AP$41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3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3</c:v>
                </c:pt>
                <c:pt idx="16">
                  <c:v>2</c:v>
                </c:pt>
                <c:pt idx="17">
                  <c:v>5</c:v>
                </c:pt>
                <c:pt idx="18">
                  <c:v>4</c:v>
                </c:pt>
                <c:pt idx="19">
                  <c:v>3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3</c:v>
                </c:pt>
                <c:pt idx="24">
                  <c:v>1</c:v>
                </c:pt>
                <c:pt idx="25">
                  <c:v>2</c:v>
                </c:pt>
                <c:pt idx="26">
                  <c:v>1</c:v>
                </c:pt>
                <c:pt idx="27">
                  <c:v>4</c:v>
                </c:pt>
                <c:pt idx="28">
                  <c:v>6</c:v>
                </c:pt>
                <c:pt idx="29">
                  <c:v>2</c:v>
                </c:pt>
                <c:pt idx="30">
                  <c:v>3</c:v>
                </c:pt>
                <c:pt idx="31">
                  <c:v>4</c:v>
                </c:pt>
                <c:pt idx="32">
                  <c:v>4</c:v>
                </c:pt>
                <c:pt idx="33">
                  <c:v>5</c:v>
                </c:pt>
                <c:pt idx="34">
                  <c:v>8</c:v>
                </c:pt>
                <c:pt idx="35">
                  <c:v>5</c:v>
                </c:pt>
                <c:pt idx="36">
                  <c:v>2</c:v>
                </c:pt>
                <c:pt idx="37">
                  <c:v>5</c:v>
                </c:pt>
                <c:pt idx="3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C4-438A-9208-AAA7760860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061292"/>
        <c:axId val="27123441"/>
      </c:barChart>
      <c:lineChart>
        <c:grouping val="standard"/>
        <c:varyColors val="0"/>
        <c:ser>
          <c:idx val="1"/>
          <c:order val="1"/>
          <c:spPr>
            <a:ln w="1908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Sprint 2'!$D$42:$AP$42</c:f>
              <c:numCache>
                <c:formatCode>0.0</c:formatCode>
                <c:ptCount val="39"/>
                <c:pt idx="0" formatCode="General">
                  <c:v>110</c:v>
                </c:pt>
                <c:pt idx="1">
                  <c:v>110</c:v>
                </c:pt>
                <c:pt idx="2">
                  <c:v>109</c:v>
                </c:pt>
                <c:pt idx="3">
                  <c:v>109</c:v>
                </c:pt>
                <c:pt idx="4">
                  <c:v>109</c:v>
                </c:pt>
                <c:pt idx="5">
                  <c:v>107</c:v>
                </c:pt>
                <c:pt idx="6">
                  <c:v>105</c:v>
                </c:pt>
                <c:pt idx="7">
                  <c:v>104</c:v>
                </c:pt>
                <c:pt idx="8">
                  <c:v>104</c:v>
                </c:pt>
                <c:pt idx="9">
                  <c:v>104</c:v>
                </c:pt>
                <c:pt idx="10">
                  <c:v>103</c:v>
                </c:pt>
                <c:pt idx="11">
                  <c:v>100</c:v>
                </c:pt>
                <c:pt idx="12">
                  <c:v>93</c:v>
                </c:pt>
                <c:pt idx="13">
                  <c:v>86</c:v>
                </c:pt>
                <c:pt idx="14">
                  <c:v>79</c:v>
                </c:pt>
                <c:pt idx="15">
                  <c:v>76</c:v>
                </c:pt>
                <c:pt idx="16">
                  <c:v>74</c:v>
                </c:pt>
                <c:pt idx="17">
                  <c:v>69</c:v>
                </c:pt>
                <c:pt idx="18">
                  <c:v>65</c:v>
                </c:pt>
                <c:pt idx="19">
                  <c:v>62</c:v>
                </c:pt>
                <c:pt idx="20">
                  <c:v>61</c:v>
                </c:pt>
                <c:pt idx="21">
                  <c:v>59</c:v>
                </c:pt>
                <c:pt idx="22">
                  <c:v>56</c:v>
                </c:pt>
                <c:pt idx="23">
                  <c:v>53</c:v>
                </c:pt>
                <c:pt idx="24">
                  <c:v>52</c:v>
                </c:pt>
                <c:pt idx="25">
                  <c:v>50</c:v>
                </c:pt>
                <c:pt idx="26">
                  <c:v>49</c:v>
                </c:pt>
                <c:pt idx="27">
                  <c:v>45</c:v>
                </c:pt>
                <c:pt idx="28">
                  <c:v>39</c:v>
                </c:pt>
                <c:pt idx="29">
                  <c:v>37</c:v>
                </c:pt>
                <c:pt idx="30">
                  <c:v>34</c:v>
                </c:pt>
                <c:pt idx="31">
                  <c:v>30</c:v>
                </c:pt>
                <c:pt idx="32">
                  <c:v>26</c:v>
                </c:pt>
                <c:pt idx="33">
                  <c:v>21</c:v>
                </c:pt>
                <c:pt idx="34">
                  <c:v>13</c:v>
                </c:pt>
                <c:pt idx="35">
                  <c:v>8</c:v>
                </c:pt>
                <c:pt idx="36">
                  <c:v>6</c:v>
                </c:pt>
                <c:pt idx="37">
                  <c:v>1</c:v>
                </c:pt>
                <c:pt idx="3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C4-438A-9208-AAA7760860A8}"/>
            </c:ext>
          </c:extLst>
        </c:ser>
        <c:ser>
          <c:idx val="2"/>
          <c:order val="2"/>
          <c:tx>
            <c:strRef>
              <c:f>"Ideal Burndown"</c:f>
              <c:strCache>
                <c:ptCount val="1"/>
                <c:pt idx="0">
                  <c:v>Ideal Burndown</c:v>
                </c:pt>
              </c:strCache>
            </c:strRef>
          </c:tx>
          <c:spPr>
            <a:ln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Sprint 2'!$D$43:$AP$43</c:f>
              <c:numCache>
                <c:formatCode>0.0</c:formatCode>
                <c:ptCount val="39"/>
                <c:pt idx="0" formatCode="General">
                  <c:v>110</c:v>
                </c:pt>
                <c:pt idx="1">
                  <c:v>107.10526315789474</c:v>
                </c:pt>
                <c:pt idx="2">
                  <c:v>104.21052631578948</c:v>
                </c:pt>
                <c:pt idx="3">
                  <c:v>101.31578947368421</c:v>
                </c:pt>
                <c:pt idx="4">
                  <c:v>98.421052631578945</c:v>
                </c:pt>
                <c:pt idx="5">
                  <c:v>95.526315789473685</c:v>
                </c:pt>
                <c:pt idx="6">
                  <c:v>92.631578947368425</c:v>
                </c:pt>
                <c:pt idx="7">
                  <c:v>89.73684210526315</c:v>
                </c:pt>
                <c:pt idx="8">
                  <c:v>86.84210526315789</c:v>
                </c:pt>
                <c:pt idx="9">
                  <c:v>83.94736842105263</c:v>
                </c:pt>
                <c:pt idx="10">
                  <c:v>81.05263157894737</c:v>
                </c:pt>
                <c:pt idx="11">
                  <c:v>78.15789473684211</c:v>
                </c:pt>
                <c:pt idx="12">
                  <c:v>75.26315789473685</c:v>
                </c:pt>
                <c:pt idx="13">
                  <c:v>72.368421052631575</c:v>
                </c:pt>
                <c:pt idx="14">
                  <c:v>69.473684210526315</c:v>
                </c:pt>
                <c:pt idx="15">
                  <c:v>66.578947368421041</c:v>
                </c:pt>
                <c:pt idx="16">
                  <c:v>63.684210526315788</c:v>
                </c:pt>
                <c:pt idx="17">
                  <c:v>60.789473684210527</c:v>
                </c:pt>
                <c:pt idx="18">
                  <c:v>57.89473684210526</c:v>
                </c:pt>
                <c:pt idx="19">
                  <c:v>55</c:v>
                </c:pt>
                <c:pt idx="20">
                  <c:v>52.105263157894733</c:v>
                </c:pt>
                <c:pt idx="21">
                  <c:v>49.210526315789473</c:v>
                </c:pt>
                <c:pt idx="22">
                  <c:v>46.315789473684205</c:v>
                </c:pt>
                <c:pt idx="23">
                  <c:v>43.421052631578945</c:v>
                </c:pt>
                <c:pt idx="24">
                  <c:v>40.526315789473685</c:v>
                </c:pt>
                <c:pt idx="25">
                  <c:v>37.631578947368425</c:v>
                </c:pt>
                <c:pt idx="26">
                  <c:v>34.73684210526315</c:v>
                </c:pt>
                <c:pt idx="27">
                  <c:v>31.84210526315789</c:v>
                </c:pt>
                <c:pt idx="28">
                  <c:v>28.94736842105263</c:v>
                </c:pt>
                <c:pt idx="29">
                  <c:v>26.05263157894737</c:v>
                </c:pt>
                <c:pt idx="30">
                  <c:v>23.157894736842096</c:v>
                </c:pt>
                <c:pt idx="31">
                  <c:v>20.263157894736835</c:v>
                </c:pt>
                <c:pt idx="32">
                  <c:v>17.368421052631575</c:v>
                </c:pt>
                <c:pt idx="33">
                  <c:v>14.473684210526315</c:v>
                </c:pt>
                <c:pt idx="34">
                  <c:v>11.578947368421055</c:v>
                </c:pt>
                <c:pt idx="35">
                  <c:v>8.6842105263157805</c:v>
                </c:pt>
                <c:pt idx="36">
                  <c:v>5.7894736842105203</c:v>
                </c:pt>
                <c:pt idx="37">
                  <c:v>2.8947368421052602</c:v>
                </c:pt>
                <c:pt idx="3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FC4-438A-9208-AAA7760860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71061292"/>
        <c:axId val="27123441"/>
      </c:lineChart>
      <c:catAx>
        <c:axId val="7106129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27123441"/>
        <c:crosses val="autoZero"/>
        <c:auto val="1"/>
        <c:lblAlgn val="ctr"/>
        <c:lblOffset val="100"/>
        <c:noMultiLvlLbl val="0"/>
      </c:catAx>
      <c:valAx>
        <c:axId val="27123441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7106129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Calibri"/>
              <a:ea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c:style val="2"/>
  <c:chart>
    <c:title>
      <c:tx>
        <c:rich>
          <a:bodyPr rot="0"/>
          <a:lstStyle/>
          <a:p>
            <a:pPr>
              <a:defRPr lang="pt-PT" sz="1400" b="0" strike="noStrike" spc="-1">
                <a:solidFill>
                  <a:srgbClr val="757575"/>
                </a:solidFill>
                <a:latin typeface="Calibri"/>
                <a:ea typeface="Calibri"/>
              </a:defRPr>
            </a:pPr>
            <a:r>
              <a:rPr lang="pt-PT" sz="1400" b="0" strike="noStrike" spc="-1">
                <a:solidFill>
                  <a:srgbClr val="757575"/>
                </a:solidFill>
                <a:latin typeface="Calibri"/>
                <a:ea typeface="Calibri"/>
              </a:rPr>
              <a:t>Semana1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"Completed Effort"</c:f>
              <c:strCache>
                <c:ptCount val="1"/>
                <c:pt idx="0">
                  <c:v>Completed Effort</c:v>
                </c:pt>
              </c:strCache>
            </c:strRef>
          </c:tx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s1'!$C$11:$K$11</c:f>
              <c:numCache>
                <c:formatCode>General</c:formatCode>
                <c:ptCount val="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7</c:v>
                </c:pt>
                <c:pt idx="6">
                  <c:v>10</c:v>
                </c:pt>
                <c:pt idx="7">
                  <c:v>4</c:v>
                </c:pt>
                <c:pt idx="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67-4474-886A-9802452405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1495153"/>
        <c:axId val="79347629"/>
      </c:barChart>
      <c:lineChart>
        <c:grouping val="standard"/>
        <c:varyColors val="0"/>
        <c:ser>
          <c:idx val="1"/>
          <c:order val="1"/>
          <c:tx>
            <c:strRef>
              <c:f>"Remaining Effort"</c:f>
              <c:strCache>
                <c:ptCount val="1"/>
                <c:pt idx="0">
                  <c:v>Remaining Effort</c:v>
                </c:pt>
              </c:strCache>
            </c:strRef>
          </c:tx>
          <c:spPr>
            <a:ln w="28440">
              <a:solidFill>
                <a:srgbClr val="00B0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s1'!$C$12:$K$12</c:f>
              <c:numCache>
                <c:formatCode>General</c:formatCode>
                <c:ptCount val="9"/>
                <c:pt idx="1">
                  <c:v>30</c:v>
                </c:pt>
                <c:pt idx="2" formatCode="0.0">
                  <c:v>30</c:v>
                </c:pt>
                <c:pt idx="3" formatCode="0.0">
                  <c:v>30</c:v>
                </c:pt>
                <c:pt idx="4" formatCode="0.0">
                  <c:v>25</c:v>
                </c:pt>
                <c:pt idx="5" formatCode="0.0">
                  <c:v>18</c:v>
                </c:pt>
                <c:pt idx="6" formatCode="0.0">
                  <c:v>8</c:v>
                </c:pt>
                <c:pt idx="7" formatCode="0.0">
                  <c:v>4</c:v>
                </c:pt>
                <c:pt idx="8" formatCode="0.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67-4474-886A-980245240511}"/>
            </c:ext>
          </c:extLst>
        </c:ser>
        <c:ser>
          <c:idx val="2"/>
          <c:order val="2"/>
          <c:tx>
            <c:strRef>
              <c:f>"Ideal Burndown"</c:f>
              <c:strCache>
                <c:ptCount val="1"/>
                <c:pt idx="0">
                  <c:v>Ideal Burndown</c:v>
                </c:pt>
              </c:strCache>
            </c:strRef>
          </c:tx>
          <c:spPr>
            <a:ln w="28440">
              <a:solidFill>
                <a:srgbClr val="92D05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s1'!$C$13:$K$13</c:f>
              <c:numCache>
                <c:formatCode>General</c:formatCode>
                <c:ptCount val="9"/>
                <c:pt idx="1">
                  <c:v>30</c:v>
                </c:pt>
                <c:pt idx="2" formatCode="0.0">
                  <c:v>25.714285714285715</c:v>
                </c:pt>
                <c:pt idx="3" formatCode="0.0">
                  <c:v>21.428571428571431</c:v>
                </c:pt>
                <c:pt idx="4" formatCode="0.0">
                  <c:v>17.142857142857142</c:v>
                </c:pt>
                <c:pt idx="5" formatCode="0.0">
                  <c:v>12.857142857142858</c:v>
                </c:pt>
                <c:pt idx="6" formatCode="0.0">
                  <c:v>8.571428571428573</c:v>
                </c:pt>
                <c:pt idx="7" formatCode="0.0">
                  <c:v>4.2857142857142847</c:v>
                </c:pt>
                <c:pt idx="8" formatCode="0.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67-4474-886A-9802452405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1495153"/>
        <c:axId val="79347629"/>
      </c:lineChart>
      <c:catAx>
        <c:axId val="9149515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79347629"/>
        <c:crosses val="autoZero"/>
        <c:auto val="1"/>
        <c:lblAlgn val="ctr"/>
        <c:lblOffset val="100"/>
        <c:noMultiLvlLbl val="0"/>
      </c:catAx>
      <c:valAx>
        <c:axId val="79347629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9149515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Calibri"/>
              <a:ea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c:style val="2"/>
  <c:chart>
    <c:title>
      <c:tx>
        <c:rich>
          <a:bodyPr rot="0"/>
          <a:lstStyle/>
          <a:p>
            <a:pPr>
              <a:defRPr lang="pt-PT" sz="1400" b="0" strike="noStrike" spc="-1">
                <a:solidFill>
                  <a:srgbClr val="757575"/>
                </a:solidFill>
                <a:latin typeface="Calibri"/>
                <a:ea typeface="Calibri"/>
              </a:defRPr>
            </a:pPr>
            <a:r>
              <a:rPr lang="pt-PT" sz="1400" b="0" strike="noStrike" spc="-1">
                <a:solidFill>
                  <a:srgbClr val="757575"/>
                </a:solidFill>
                <a:latin typeface="Calibri"/>
                <a:ea typeface="Calibri"/>
              </a:rPr>
              <a:t>Semana2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"Completed Effort"</c:f>
              <c:strCache>
                <c:ptCount val="1"/>
                <c:pt idx="0">
                  <c:v>Completed Effort</c:v>
                </c:pt>
              </c:strCache>
            </c:strRef>
          </c:tx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s2'!$C$20:$K$20</c:f>
              <c:numCache>
                <c:formatCode>General</c:formatCode>
                <c:ptCount val="9"/>
                <c:pt idx="1">
                  <c:v>0</c:v>
                </c:pt>
                <c:pt idx="2">
                  <c:v>6</c:v>
                </c:pt>
                <c:pt idx="3">
                  <c:v>8</c:v>
                </c:pt>
                <c:pt idx="4">
                  <c:v>7</c:v>
                </c:pt>
                <c:pt idx="5">
                  <c:v>5</c:v>
                </c:pt>
                <c:pt idx="6">
                  <c:v>6</c:v>
                </c:pt>
                <c:pt idx="7">
                  <c:v>4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13-4386-A3B2-FAFF3C1B76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823780"/>
        <c:axId val="41869590"/>
      </c:barChart>
      <c:lineChart>
        <c:grouping val="standard"/>
        <c:varyColors val="0"/>
        <c:ser>
          <c:idx val="1"/>
          <c:order val="1"/>
          <c:tx>
            <c:strRef>
              <c:f>"Remaining Effort"</c:f>
              <c:strCache>
                <c:ptCount val="1"/>
                <c:pt idx="0">
                  <c:v>Remaining Effort</c:v>
                </c:pt>
              </c:strCache>
            </c:strRef>
          </c:tx>
          <c:spPr>
            <a:ln w="28440">
              <a:solidFill>
                <a:srgbClr val="00B0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s2'!$C$21:$K$21</c:f>
              <c:numCache>
                <c:formatCode>General</c:formatCode>
                <c:ptCount val="9"/>
                <c:pt idx="1">
                  <c:v>52</c:v>
                </c:pt>
                <c:pt idx="2" formatCode="0.0">
                  <c:v>46</c:v>
                </c:pt>
                <c:pt idx="3" formatCode="0.0">
                  <c:v>38</c:v>
                </c:pt>
                <c:pt idx="4" formatCode="0.0">
                  <c:v>31</c:v>
                </c:pt>
                <c:pt idx="5" formatCode="0.0">
                  <c:v>26</c:v>
                </c:pt>
                <c:pt idx="6" formatCode="0.0">
                  <c:v>20</c:v>
                </c:pt>
                <c:pt idx="7" formatCode="0.0">
                  <c:v>16</c:v>
                </c:pt>
                <c:pt idx="8" formatCode="0.0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13-4386-A3B2-FAFF3C1B7658}"/>
            </c:ext>
          </c:extLst>
        </c:ser>
        <c:ser>
          <c:idx val="2"/>
          <c:order val="2"/>
          <c:tx>
            <c:strRef>
              <c:f>"Ideal Burndown"</c:f>
              <c:strCache>
                <c:ptCount val="1"/>
                <c:pt idx="0">
                  <c:v>Ideal Burndown</c:v>
                </c:pt>
              </c:strCache>
            </c:strRef>
          </c:tx>
          <c:spPr>
            <a:ln w="28440">
              <a:solidFill>
                <a:srgbClr val="92D05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s2'!$C$22:$K$22</c:f>
              <c:numCache>
                <c:formatCode>General</c:formatCode>
                <c:ptCount val="9"/>
                <c:pt idx="1">
                  <c:v>52</c:v>
                </c:pt>
                <c:pt idx="2" formatCode="0.0">
                  <c:v>44.571428571428569</c:v>
                </c:pt>
                <c:pt idx="3" formatCode="0.0">
                  <c:v>37.142857142857139</c:v>
                </c:pt>
                <c:pt idx="4" formatCode="0.0">
                  <c:v>29.714285714285715</c:v>
                </c:pt>
                <c:pt idx="5" formatCode="0.0">
                  <c:v>22.285714285714285</c:v>
                </c:pt>
                <c:pt idx="6" formatCode="0.0">
                  <c:v>14.857142857142854</c:v>
                </c:pt>
                <c:pt idx="7" formatCode="0.0">
                  <c:v>7.4285714285714306</c:v>
                </c:pt>
                <c:pt idx="8" formatCode="0.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13-4386-A3B2-FAFF3C1B76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5823780"/>
        <c:axId val="41869590"/>
      </c:lineChart>
      <c:catAx>
        <c:axId val="558237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41869590"/>
        <c:crosses val="autoZero"/>
        <c:auto val="1"/>
        <c:lblAlgn val="ctr"/>
        <c:lblOffset val="100"/>
        <c:noMultiLvlLbl val="0"/>
      </c:catAx>
      <c:valAx>
        <c:axId val="4186959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5582378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Calibri"/>
              <a:ea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c:style val="2"/>
  <c:chart>
    <c:title>
      <c:tx>
        <c:rich>
          <a:bodyPr rot="0"/>
          <a:lstStyle/>
          <a:p>
            <a:pPr>
              <a:defRPr lang="pt-PT" sz="1400" b="0" strike="noStrike" spc="-1">
                <a:solidFill>
                  <a:srgbClr val="757575"/>
                </a:solidFill>
                <a:latin typeface="Calibri"/>
                <a:ea typeface="Calibri"/>
              </a:defRPr>
            </a:pPr>
            <a:r>
              <a:rPr lang="pt-PT" sz="1400" b="0" strike="noStrike" spc="-1">
                <a:solidFill>
                  <a:srgbClr val="757575"/>
                </a:solidFill>
                <a:latin typeface="Calibri"/>
                <a:ea typeface="Calibri"/>
              </a:rPr>
              <a:t>Semana3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"Completed Effort"</c:f>
              <c:strCache>
                <c:ptCount val="1"/>
                <c:pt idx="0">
                  <c:v>Completed Effort</c:v>
                </c:pt>
              </c:strCache>
            </c:strRef>
          </c:tx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s3'!$C$14:$K$14</c:f>
              <c:numCache>
                <c:formatCode>General</c:formatCode>
                <c:ptCount val="9"/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5</c:v>
                </c:pt>
                <c:pt idx="6">
                  <c:v>6</c:v>
                </c:pt>
                <c:pt idx="7">
                  <c:v>10</c:v>
                </c:pt>
                <c:pt idx="8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14-44F2-A42D-D8FE62A296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310431"/>
        <c:axId val="30596653"/>
      </c:barChart>
      <c:lineChart>
        <c:grouping val="standard"/>
        <c:varyColors val="0"/>
        <c:ser>
          <c:idx val="1"/>
          <c:order val="1"/>
          <c:tx>
            <c:strRef>
              <c:f>"Remaining Effort"</c:f>
              <c:strCache>
                <c:ptCount val="1"/>
                <c:pt idx="0">
                  <c:v>Remaining Effort</c:v>
                </c:pt>
              </c:strCache>
            </c:strRef>
          </c:tx>
          <c:spPr>
            <a:ln w="28440">
              <a:solidFill>
                <a:srgbClr val="00B0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s3'!$C$15:$K$15</c:f>
              <c:numCache>
                <c:formatCode>General</c:formatCode>
                <c:ptCount val="9"/>
                <c:pt idx="1">
                  <c:v>48</c:v>
                </c:pt>
                <c:pt idx="2" formatCode="0.0">
                  <c:v>48</c:v>
                </c:pt>
                <c:pt idx="3" formatCode="0.0">
                  <c:v>46</c:v>
                </c:pt>
                <c:pt idx="4" formatCode="0.0">
                  <c:v>44</c:v>
                </c:pt>
                <c:pt idx="5" formatCode="0.0">
                  <c:v>39</c:v>
                </c:pt>
                <c:pt idx="6" formatCode="0.0">
                  <c:v>33</c:v>
                </c:pt>
                <c:pt idx="7" formatCode="0.0">
                  <c:v>23</c:v>
                </c:pt>
                <c:pt idx="8" formatCode="0.0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14-44F2-A42D-D8FE62A2961A}"/>
            </c:ext>
          </c:extLst>
        </c:ser>
        <c:ser>
          <c:idx val="2"/>
          <c:order val="2"/>
          <c:tx>
            <c:strRef>
              <c:f>"Ideal Burndown"</c:f>
              <c:strCache>
                <c:ptCount val="1"/>
                <c:pt idx="0">
                  <c:v>Ideal Burndown</c:v>
                </c:pt>
              </c:strCache>
            </c:strRef>
          </c:tx>
          <c:spPr>
            <a:ln w="28440">
              <a:solidFill>
                <a:srgbClr val="92D05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s3'!$C$16:$K$16</c:f>
              <c:numCache>
                <c:formatCode>General</c:formatCode>
                <c:ptCount val="9"/>
                <c:pt idx="1">
                  <c:v>48</c:v>
                </c:pt>
                <c:pt idx="2" formatCode="0.0">
                  <c:v>41.142857142857146</c:v>
                </c:pt>
                <c:pt idx="3" formatCode="0.0">
                  <c:v>34.285714285714285</c:v>
                </c:pt>
                <c:pt idx="4" formatCode="0.0">
                  <c:v>27.428571428571431</c:v>
                </c:pt>
                <c:pt idx="5" formatCode="0.0">
                  <c:v>20.571428571428573</c:v>
                </c:pt>
                <c:pt idx="6" formatCode="0.0">
                  <c:v>13.714285714285715</c:v>
                </c:pt>
                <c:pt idx="7" formatCode="0.0">
                  <c:v>6.8571428571428612</c:v>
                </c:pt>
                <c:pt idx="8" formatCode="0.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114-44F2-A42D-D8FE62A296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2310431"/>
        <c:axId val="30596653"/>
      </c:lineChart>
      <c:catAx>
        <c:axId val="9231043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30596653"/>
        <c:crosses val="autoZero"/>
        <c:auto val="1"/>
        <c:lblAlgn val="ctr"/>
        <c:lblOffset val="100"/>
        <c:noMultiLvlLbl val="0"/>
      </c:catAx>
      <c:valAx>
        <c:axId val="30596653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9231043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Calibri"/>
              <a:ea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c:style val="2"/>
  <c:chart>
    <c:title>
      <c:tx>
        <c:rich>
          <a:bodyPr rot="0"/>
          <a:lstStyle/>
          <a:p>
            <a:pPr>
              <a:defRPr lang="pt-PT" sz="1400" b="0" strike="noStrike" spc="-1">
                <a:solidFill>
                  <a:srgbClr val="757575"/>
                </a:solidFill>
                <a:latin typeface="Calibri"/>
                <a:ea typeface="Calibri"/>
              </a:defRPr>
            </a:pPr>
            <a:r>
              <a:rPr lang="pt-PT" sz="1400" b="0" strike="noStrike" spc="-1">
                <a:solidFill>
                  <a:srgbClr val="757575"/>
                </a:solidFill>
                <a:latin typeface="Calibri"/>
                <a:ea typeface="Calibri"/>
              </a:rPr>
              <a:t>Semana4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"Completed Effort"</c:f>
              <c:strCache>
                <c:ptCount val="1"/>
                <c:pt idx="0">
                  <c:v>Completed Effort</c:v>
                </c:pt>
              </c:strCache>
            </c:strRef>
          </c:tx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s4'!$C$16:$K$16</c:f>
              <c:numCache>
                <c:formatCode>General</c:formatCode>
                <c:ptCount val="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B5-4BFC-8C25-43C0519CF9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5401351"/>
        <c:axId val="69485800"/>
      </c:barChart>
      <c:lineChart>
        <c:grouping val="standard"/>
        <c:varyColors val="0"/>
        <c:ser>
          <c:idx val="1"/>
          <c:order val="1"/>
          <c:tx>
            <c:strRef>
              <c:f>"Remaining Effort"</c:f>
              <c:strCache>
                <c:ptCount val="1"/>
                <c:pt idx="0">
                  <c:v>Remaining Effort</c:v>
                </c:pt>
              </c:strCache>
            </c:strRef>
          </c:tx>
          <c:spPr>
            <a:ln w="28440">
              <a:solidFill>
                <a:srgbClr val="00B0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s4'!$C$17:$K$17</c:f>
              <c:numCache>
                <c:formatCode>General</c:formatCode>
                <c:ptCount val="9"/>
                <c:pt idx="1">
                  <c:v>51</c:v>
                </c:pt>
                <c:pt idx="2" formatCode="0.0">
                  <c:v>51</c:v>
                </c:pt>
                <c:pt idx="3" formatCode="0.0">
                  <c:v>51</c:v>
                </c:pt>
                <c:pt idx="4" formatCode="0.0">
                  <c:v>51</c:v>
                </c:pt>
                <c:pt idx="5" formatCode="0.0">
                  <c:v>51</c:v>
                </c:pt>
                <c:pt idx="6" formatCode="0.0">
                  <c:v>51</c:v>
                </c:pt>
                <c:pt idx="7" formatCode="0.0">
                  <c:v>51</c:v>
                </c:pt>
                <c:pt idx="8" formatCode="0.0">
                  <c:v>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B5-4BFC-8C25-43C0519CF9AF}"/>
            </c:ext>
          </c:extLst>
        </c:ser>
        <c:ser>
          <c:idx val="2"/>
          <c:order val="2"/>
          <c:tx>
            <c:strRef>
              <c:f>"Ideal Burndown"</c:f>
              <c:strCache>
                <c:ptCount val="1"/>
                <c:pt idx="0">
                  <c:v>Ideal Burndown</c:v>
                </c:pt>
              </c:strCache>
            </c:strRef>
          </c:tx>
          <c:spPr>
            <a:ln w="28440">
              <a:solidFill>
                <a:srgbClr val="92D05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s4'!$C$18:$K$18</c:f>
              <c:numCache>
                <c:formatCode>General</c:formatCode>
                <c:ptCount val="9"/>
                <c:pt idx="1">
                  <c:v>51</c:v>
                </c:pt>
                <c:pt idx="2" formatCode="0.0">
                  <c:v>43.714285714285715</c:v>
                </c:pt>
                <c:pt idx="3" formatCode="0.0">
                  <c:v>36.428571428571431</c:v>
                </c:pt>
                <c:pt idx="4" formatCode="0.0">
                  <c:v>29.142857142857142</c:v>
                </c:pt>
                <c:pt idx="5" formatCode="0.0">
                  <c:v>21.857142857142858</c:v>
                </c:pt>
                <c:pt idx="6" formatCode="0.0">
                  <c:v>14.571428571428569</c:v>
                </c:pt>
                <c:pt idx="7" formatCode="0.0">
                  <c:v>7.2857142857142847</c:v>
                </c:pt>
                <c:pt idx="8" formatCode="0.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B5-4BFC-8C25-43C0519CF9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75401351"/>
        <c:axId val="69485800"/>
      </c:lineChart>
      <c:catAx>
        <c:axId val="7540135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69485800"/>
        <c:crosses val="autoZero"/>
        <c:auto val="1"/>
        <c:lblAlgn val="ctr"/>
        <c:lblOffset val="100"/>
        <c:noMultiLvlLbl val="0"/>
      </c:catAx>
      <c:valAx>
        <c:axId val="6948580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7540135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Calibri"/>
              <a:ea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838080</xdr:colOff>
      <xdr:row>45</xdr:row>
      <xdr:rowOff>28440</xdr:rowOff>
    </xdr:from>
    <xdr:to>
      <xdr:col>10</xdr:col>
      <xdr:colOff>457560</xdr:colOff>
      <xdr:row>80</xdr:row>
      <xdr:rowOff>9000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838080</xdr:colOff>
      <xdr:row>45</xdr:row>
      <xdr:rowOff>28440</xdr:rowOff>
    </xdr:from>
    <xdr:to>
      <xdr:col>10</xdr:col>
      <xdr:colOff>457560</xdr:colOff>
      <xdr:row>80</xdr:row>
      <xdr:rowOff>9000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466560</xdr:colOff>
      <xdr:row>15</xdr:row>
      <xdr:rowOff>13320</xdr:rowOff>
    </xdr:from>
    <xdr:to>
      <xdr:col>8</xdr:col>
      <xdr:colOff>657360</xdr:colOff>
      <xdr:row>45</xdr:row>
      <xdr:rowOff>41760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352440</xdr:colOff>
      <xdr:row>23</xdr:row>
      <xdr:rowOff>22680</xdr:rowOff>
    </xdr:from>
    <xdr:to>
      <xdr:col>8</xdr:col>
      <xdr:colOff>646200</xdr:colOff>
      <xdr:row>53</xdr:row>
      <xdr:rowOff>3600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695160</xdr:colOff>
      <xdr:row>17</xdr:row>
      <xdr:rowOff>51480</xdr:rowOff>
    </xdr:from>
    <xdr:to>
      <xdr:col>9</xdr:col>
      <xdr:colOff>188640</xdr:colOff>
      <xdr:row>47</xdr:row>
      <xdr:rowOff>60480</xdr:rowOff>
    </xdr:to>
    <xdr:graphicFrame macro="">
      <xdr:nvGraphicFramePr>
        <xdr:cNvPr id="4" name="Chart 4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695160</xdr:colOff>
      <xdr:row>19</xdr:row>
      <xdr:rowOff>152280</xdr:rowOff>
    </xdr:from>
    <xdr:to>
      <xdr:col>9</xdr:col>
      <xdr:colOff>188640</xdr:colOff>
      <xdr:row>49</xdr:row>
      <xdr:rowOff>133200</xdr:rowOff>
    </xdr:to>
    <xdr:graphicFrame macro="">
      <xdr:nvGraphicFramePr>
        <xdr:cNvPr id="5" name="Chart 5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Q1000"/>
  <sheetViews>
    <sheetView topLeftCell="A22" zoomScale="80" zoomScaleNormal="80" workbookViewId="0">
      <selection activeCell="W51" sqref="W51"/>
    </sheetView>
  </sheetViews>
  <sheetFormatPr defaultColWidth="14.42578125" defaultRowHeight="15"/>
  <cols>
    <col min="1" max="1" width="9" customWidth="1"/>
    <col min="2" max="2" width="7.140625" customWidth="1"/>
    <col min="3" max="3" width="73.140625" customWidth="1"/>
    <col min="4" max="4" width="16.85546875" customWidth="1"/>
    <col min="5" max="33" width="13" customWidth="1"/>
    <col min="34" max="43" width="9" customWidth="1"/>
  </cols>
  <sheetData>
    <row r="1" spans="2:43" ht="13.5" customHeight="1"/>
    <row r="2" spans="2:43" ht="26.25" customHeight="1">
      <c r="B2" s="108" t="s">
        <v>0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</row>
    <row r="3" spans="2:43" ht="13.5" customHeight="1">
      <c r="B3" s="109"/>
      <c r="C3" s="109"/>
      <c r="D3" s="109"/>
      <c r="E3" s="109"/>
      <c r="F3" s="109"/>
      <c r="G3" s="109"/>
      <c r="H3" s="109"/>
      <c r="I3" s="109"/>
      <c r="J3" s="109"/>
      <c r="K3" s="109"/>
      <c r="AG3" s="1"/>
    </row>
    <row r="4" spans="2:43" ht="15" customHeight="1">
      <c r="B4" s="110" t="s">
        <v>1</v>
      </c>
      <c r="C4" s="111" t="s">
        <v>2</v>
      </c>
      <c r="D4" s="112" t="s">
        <v>3</v>
      </c>
      <c r="E4" s="2">
        <v>45928</v>
      </c>
      <c r="F4" s="3">
        <v>45929</v>
      </c>
      <c r="G4" s="3">
        <v>45930</v>
      </c>
      <c r="H4" s="3">
        <v>45931</v>
      </c>
      <c r="I4" s="3">
        <v>45932</v>
      </c>
      <c r="J4" s="3">
        <v>45933</v>
      </c>
      <c r="K4" s="3">
        <v>45934</v>
      </c>
      <c r="L4" s="3">
        <v>45935</v>
      </c>
      <c r="M4" s="3">
        <v>45936</v>
      </c>
      <c r="N4" s="3">
        <v>45937</v>
      </c>
      <c r="O4" s="3">
        <v>45938</v>
      </c>
      <c r="P4" s="3">
        <v>45939</v>
      </c>
      <c r="Q4" s="3">
        <v>45940</v>
      </c>
      <c r="R4" s="3">
        <v>45941</v>
      </c>
      <c r="S4" s="3">
        <v>45942</v>
      </c>
      <c r="T4" s="3">
        <v>45943</v>
      </c>
      <c r="U4" s="3">
        <v>45944</v>
      </c>
      <c r="V4" s="3">
        <v>45945</v>
      </c>
      <c r="W4" s="3">
        <v>45946</v>
      </c>
      <c r="X4" s="3">
        <v>45947</v>
      </c>
      <c r="Y4" s="3">
        <v>45948</v>
      </c>
      <c r="Z4" s="3">
        <v>45949</v>
      </c>
      <c r="AA4" s="3">
        <v>45950</v>
      </c>
      <c r="AB4" s="3">
        <v>45951</v>
      </c>
      <c r="AC4" s="3">
        <v>45952</v>
      </c>
      <c r="AD4" s="3">
        <v>45953</v>
      </c>
      <c r="AE4" s="3">
        <v>45954</v>
      </c>
      <c r="AF4" s="3">
        <v>45955</v>
      </c>
      <c r="AG4" s="3">
        <v>45956</v>
      </c>
    </row>
    <row r="5" spans="2:43" ht="13.5" customHeight="1">
      <c r="B5" s="110"/>
      <c r="C5" s="111"/>
      <c r="D5" s="112"/>
      <c r="E5" s="4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  <c r="M5" s="5" t="s">
        <v>12</v>
      </c>
      <c r="N5" s="5" t="s">
        <v>13</v>
      </c>
      <c r="O5" s="5" t="s">
        <v>14</v>
      </c>
      <c r="P5" s="5" t="s">
        <v>15</v>
      </c>
      <c r="Q5" s="5" t="s">
        <v>16</v>
      </c>
      <c r="R5" s="5" t="s">
        <v>17</v>
      </c>
      <c r="S5" s="5" t="s">
        <v>18</v>
      </c>
      <c r="T5" s="5" t="s">
        <v>19</v>
      </c>
      <c r="U5" s="5" t="s">
        <v>20</v>
      </c>
      <c r="V5" s="5" t="s">
        <v>21</v>
      </c>
      <c r="W5" s="5" t="s">
        <v>22</v>
      </c>
      <c r="X5" s="5" t="s">
        <v>23</v>
      </c>
      <c r="Y5" s="5" t="s">
        <v>24</v>
      </c>
      <c r="Z5" s="5" t="s">
        <v>25</v>
      </c>
      <c r="AA5" s="5" t="s">
        <v>26</v>
      </c>
      <c r="AB5" s="5" t="s">
        <v>27</v>
      </c>
      <c r="AC5" s="5" t="s">
        <v>28</v>
      </c>
      <c r="AD5" s="5" t="s">
        <v>29</v>
      </c>
      <c r="AE5" s="5" t="s">
        <v>30</v>
      </c>
      <c r="AF5" s="5" t="s">
        <v>31</v>
      </c>
      <c r="AG5" s="6" t="s">
        <v>32</v>
      </c>
      <c r="AQ5" s="7" t="s">
        <v>33</v>
      </c>
    </row>
    <row r="6" spans="2:43" ht="13.5" customHeight="1">
      <c r="B6" s="8">
        <v>1</v>
      </c>
      <c r="C6" s="9" t="s">
        <v>34</v>
      </c>
      <c r="D6" s="10">
        <v>6</v>
      </c>
      <c r="E6" s="11"/>
      <c r="F6" s="12"/>
      <c r="G6" s="12">
        <v>2</v>
      </c>
      <c r="H6" s="12">
        <v>1</v>
      </c>
      <c r="I6" s="12">
        <v>1</v>
      </c>
      <c r="J6" s="12"/>
      <c r="K6" s="12">
        <v>2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3"/>
    </row>
    <row r="7" spans="2:43" ht="13.5" customHeight="1">
      <c r="B7" s="14">
        <v>2</v>
      </c>
      <c r="C7" s="15" t="s">
        <v>35</v>
      </c>
      <c r="D7" s="10">
        <v>6</v>
      </c>
      <c r="E7" s="16"/>
      <c r="F7" s="17"/>
      <c r="G7" s="17"/>
      <c r="H7" s="17">
        <v>2</v>
      </c>
      <c r="I7" s="17">
        <v>3</v>
      </c>
      <c r="J7" s="17">
        <v>1</v>
      </c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8"/>
      <c r="AQ7" s="7" t="s">
        <v>36</v>
      </c>
    </row>
    <row r="8" spans="2:43" ht="13.5" customHeight="1">
      <c r="B8" s="14">
        <v>3</v>
      </c>
      <c r="C8" s="15" t="s">
        <v>37</v>
      </c>
      <c r="D8" s="10">
        <v>6</v>
      </c>
      <c r="E8" s="16"/>
      <c r="F8" s="17"/>
      <c r="G8" s="17">
        <v>3</v>
      </c>
      <c r="H8" s="17">
        <v>2</v>
      </c>
      <c r="I8" s="17">
        <v>1</v>
      </c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8"/>
    </row>
    <row r="9" spans="2:43" ht="13.5" customHeight="1">
      <c r="B9" s="14">
        <v>4</v>
      </c>
      <c r="C9" s="15" t="s">
        <v>38</v>
      </c>
      <c r="D9" s="10">
        <v>6</v>
      </c>
      <c r="E9" s="16"/>
      <c r="F9" s="17"/>
      <c r="G9" s="17"/>
      <c r="H9" s="17">
        <v>2</v>
      </c>
      <c r="I9" s="17">
        <v>3</v>
      </c>
      <c r="J9" s="17">
        <v>1</v>
      </c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8"/>
    </row>
    <row r="10" spans="2:43" ht="13.5" customHeight="1">
      <c r="B10" s="14">
        <v>5</v>
      </c>
      <c r="C10" s="15" t="s">
        <v>39</v>
      </c>
      <c r="D10" s="10">
        <v>6</v>
      </c>
      <c r="E10" s="16"/>
      <c r="F10" s="17"/>
      <c r="G10" s="17"/>
      <c r="H10" s="17"/>
      <c r="I10" s="17">
        <v>2</v>
      </c>
      <c r="J10" s="17">
        <v>2</v>
      </c>
      <c r="K10" s="17">
        <v>2</v>
      </c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8"/>
    </row>
    <row r="11" spans="2:43" ht="13.5" customHeight="1">
      <c r="B11" s="19">
        <v>6</v>
      </c>
      <c r="C11" s="20" t="s">
        <v>40</v>
      </c>
      <c r="D11" s="21">
        <v>8</v>
      </c>
      <c r="E11" s="22"/>
      <c r="F11" s="17"/>
      <c r="G11" s="17"/>
      <c r="H11" s="17"/>
      <c r="I11" s="17"/>
      <c r="J11" s="17"/>
      <c r="K11" s="17"/>
      <c r="L11" s="17"/>
      <c r="M11" s="17"/>
      <c r="N11" s="17"/>
      <c r="O11" s="17">
        <v>3</v>
      </c>
      <c r="P11" s="17">
        <v>3</v>
      </c>
      <c r="Q11" s="17">
        <v>2</v>
      </c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8"/>
    </row>
    <row r="12" spans="2:43" ht="13.5" customHeight="1">
      <c r="B12" s="19">
        <v>7</v>
      </c>
      <c r="C12" s="20" t="s">
        <v>41</v>
      </c>
      <c r="D12" s="21">
        <v>8</v>
      </c>
      <c r="E12" s="22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>
        <v>1</v>
      </c>
      <c r="W12" s="17"/>
      <c r="X12" s="17">
        <v>3</v>
      </c>
      <c r="Y12" s="17">
        <v>4</v>
      </c>
      <c r="Z12" s="17"/>
      <c r="AA12" s="17"/>
      <c r="AB12" s="17"/>
      <c r="AC12" s="17"/>
      <c r="AD12" s="17"/>
      <c r="AE12" s="17"/>
      <c r="AF12" s="17"/>
      <c r="AG12" s="18"/>
    </row>
    <row r="13" spans="2:43" ht="13.5" customHeight="1">
      <c r="B13" s="19">
        <v>8</v>
      </c>
      <c r="C13" s="20" t="s">
        <v>42</v>
      </c>
      <c r="D13" s="21">
        <v>8</v>
      </c>
      <c r="E13" s="22"/>
      <c r="F13" s="17"/>
      <c r="G13" s="17"/>
      <c r="H13" s="17"/>
      <c r="I13" s="17"/>
      <c r="J13" s="17"/>
      <c r="K13" s="17"/>
      <c r="L13" s="17"/>
      <c r="M13" s="17"/>
      <c r="N13" s="17">
        <v>1</v>
      </c>
      <c r="O13" s="17">
        <v>2</v>
      </c>
      <c r="P13" s="17">
        <v>3</v>
      </c>
      <c r="Q13" s="17">
        <v>2</v>
      </c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8"/>
    </row>
    <row r="14" spans="2:43" ht="13.5" customHeight="1">
      <c r="B14" s="19">
        <v>9</v>
      </c>
      <c r="C14" s="20" t="s">
        <v>43</v>
      </c>
      <c r="D14" s="21">
        <v>8</v>
      </c>
      <c r="E14" s="22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>
        <v>3</v>
      </c>
      <c r="X14" s="17">
        <v>3</v>
      </c>
      <c r="Y14" s="17">
        <v>2</v>
      </c>
      <c r="Z14" s="17"/>
      <c r="AA14" s="17"/>
      <c r="AB14" s="17"/>
      <c r="AC14" s="17"/>
      <c r="AD14" s="17"/>
      <c r="AE14" s="17"/>
      <c r="AF14" s="17"/>
      <c r="AG14" s="18"/>
    </row>
    <row r="15" spans="2:43" ht="13.5" customHeight="1">
      <c r="B15" s="19">
        <v>10</v>
      </c>
      <c r="C15" s="20" t="s">
        <v>44</v>
      </c>
      <c r="D15" s="21">
        <v>2</v>
      </c>
      <c r="E15" s="22"/>
      <c r="F15" s="17"/>
      <c r="G15" s="17"/>
      <c r="H15" s="17"/>
      <c r="I15" s="17"/>
      <c r="J15" s="17"/>
      <c r="K15" s="17"/>
      <c r="L15" s="17"/>
      <c r="M15" s="17"/>
      <c r="N15" s="17">
        <v>2</v>
      </c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8"/>
    </row>
    <row r="16" spans="2:43" ht="13.5" customHeight="1">
      <c r="B16" s="19">
        <v>11</v>
      </c>
      <c r="C16" s="20" t="s">
        <v>45</v>
      </c>
      <c r="D16" s="21">
        <v>2</v>
      </c>
      <c r="E16" s="22"/>
      <c r="F16" s="17"/>
      <c r="G16" s="17"/>
      <c r="H16" s="17"/>
      <c r="I16" s="17"/>
      <c r="J16" s="17"/>
      <c r="K16" s="17"/>
      <c r="L16" s="17"/>
      <c r="M16" s="17">
        <v>2</v>
      </c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8"/>
    </row>
    <row r="17" spans="2:33" ht="13.5" customHeight="1">
      <c r="B17" s="19">
        <v>12</v>
      </c>
      <c r="C17" s="20" t="s">
        <v>46</v>
      </c>
      <c r="D17" s="21">
        <v>2</v>
      </c>
      <c r="E17" s="22"/>
      <c r="F17" s="17"/>
      <c r="G17" s="17"/>
      <c r="H17" s="17"/>
      <c r="I17" s="17"/>
      <c r="J17" s="17"/>
      <c r="K17" s="17"/>
      <c r="L17" s="17"/>
      <c r="M17" s="17"/>
      <c r="N17" s="17">
        <v>2</v>
      </c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8"/>
    </row>
    <row r="18" spans="2:33" ht="13.5" customHeight="1">
      <c r="B18" s="19">
        <v>13</v>
      </c>
      <c r="C18" s="20" t="s">
        <v>47</v>
      </c>
      <c r="D18" s="21">
        <v>2</v>
      </c>
      <c r="E18" s="22"/>
      <c r="F18" s="17"/>
      <c r="G18" s="17"/>
      <c r="H18" s="17"/>
      <c r="I18" s="17"/>
      <c r="J18" s="17"/>
      <c r="K18" s="17"/>
      <c r="L18" s="17">
        <v>2</v>
      </c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8"/>
    </row>
    <row r="19" spans="2:33" ht="13.5" customHeight="1">
      <c r="B19" s="19">
        <v>14</v>
      </c>
      <c r="C19" s="20" t="s">
        <v>48</v>
      </c>
      <c r="D19" s="21">
        <v>2</v>
      </c>
      <c r="E19" s="22"/>
      <c r="F19" s="17"/>
      <c r="G19" s="17"/>
      <c r="H19" s="17"/>
      <c r="I19" s="17"/>
      <c r="J19" s="17"/>
      <c r="K19" s="17"/>
      <c r="L19" s="17"/>
      <c r="M19" s="17">
        <v>2</v>
      </c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8"/>
    </row>
    <row r="20" spans="2:33" ht="13.5" customHeight="1">
      <c r="B20" s="19">
        <v>15</v>
      </c>
      <c r="C20" s="20" t="s">
        <v>49</v>
      </c>
      <c r="D20" s="21">
        <v>2</v>
      </c>
      <c r="E20" s="22"/>
      <c r="F20" s="17"/>
      <c r="G20" s="17"/>
      <c r="H20" s="17"/>
      <c r="I20" s="17"/>
      <c r="J20" s="17"/>
      <c r="K20" s="17"/>
      <c r="L20" s="17"/>
      <c r="M20" s="17"/>
      <c r="N20" s="17">
        <v>2</v>
      </c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8"/>
    </row>
    <row r="21" spans="2:33" ht="13.5" customHeight="1">
      <c r="B21" s="19">
        <v>16</v>
      </c>
      <c r="C21" s="20" t="s">
        <v>50</v>
      </c>
      <c r="D21" s="21">
        <v>2</v>
      </c>
      <c r="E21" s="22"/>
      <c r="F21" s="17"/>
      <c r="G21" s="17"/>
      <c r="H21" s="17"/>
      <c r="I21" s="17"/>
      <c r="J21" s="17"/>
      <c r="K21" s="17"/>
      <c r="L21" s="17">
        <v>2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8"/>
    </row>
    <row r="22" spans="2:33" ht="13.5" customHeight="1">
      <c r="B22" s="19">
        <v>17</v>
      </c>
      <c r="C22" s="20" t="s">
        <v>51</v>
      </c>
      <c r="D22" s="21">
        <v>2</v>
      </c>
      <c r="E22" s="22"/>
      <c r="F22" s="17"/>
      <c r="G22" s="17"/>
      <c r="H22" s="17"/>
      <c r="I22" s="17"/>
      <c r="J22" s="17"/>
      <c r="K22" s="17"/>
      <c r="L22" s="17"/>
      <c r="M22" s="17">
        <v>2</v>
      </c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8"/>
    </row>
    <row r="23" spans="2:33" ht="13.5" customHeight="1">
      <c r="B23" s="19">
        <v>18</v>
      </c>
      <c r="C23" s="23" t="s">
        <v>52</v>
      </c>
      <c r="D23" s="21">
        <v>2</v>
      </c>
      <c r="E23" s="22"/>
      <c r="F23" s="17"/>
      <c r="G23" s="17"/>
      <c r="H23" s="17"/>
      <c r="I23" s="17"/>
      <c r="J23" s="17"/>
      <c r="K23" s="17"/>
      <c r="L23" s="17"/>
      <c r="M23" s="17">
        <v>2</v>
      </c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8"/>
    </row>
    <row r="24" spans="2:33" ht="13.5" customHeight="1">
      <c r="B24" s="19">
        <v>19</v>
      </c>
      <c r="C24" s="20" t="s">
        <v>53</v>
      </c>
      <c r="D24" s="21">
        <v>2</v>
      </c>
      <c r="E24" s="22"/>
      <c r="F24" s="17"/>
      <c r="G24" s="17"/>
      <c r="H24" s="17"/>
      <c r="I24" s="17"/>
      <c r="J24" s="17"/>
      <c r="K24" s="17"/>
      <c r="L24" s="17">
        <v>2</v>
      </c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8"/>
    </row>
    <row r="25" spans="2:33" ht="13.5" customHeight="1">
      <c r="B25" s="19">
        <v>20</v>
      </c>
      <c r="C25" s="24" t="s">
        <v>54</v>
      </c>
      <c r="D25" s="21">
        <v>6</v>
      </c>
      <c r="E25" s="22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>
        <v>2</v>
      </c>
      <c r="U25" s="17">
        <v>1</v>
      </c>
      <c r="V25" s="17">
        <v>2</v>
      </c>
      <c r="W25" s="17">
        <v>1</v>
      </c>
      <c r="X25" s="17"/>
      <c r="Y25" s="17"/>
      <c r="Z25" s="17"/>
      <c r="AA25" s="17"/>
      <c r="AB25" s="17"/>
      <c r="AC25" s="17"/>
      <c r="AD25" s="17"/>
      <c r="AE25" s="17"/>
      <c r="AF25" s="17"/>
      <c r="AG25" s="18"/>
    </row>
    <row r="26" spans="2:33" ht="13.5" customHeight="1">
      <c r="B26" s="19">
        <v>21</v>
      </c>
      <c r="C26" s="24" t="s">
        <v>55</v>
      </c>
      <c r="D26" s="21">
        <v>6</v>
      </c>
      <c r="E26" s="22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>
        <v>3</v>
      </c>
      <c r="Y26" s="17">
        <v>1</v>
      </c>
      <c r="Z26" s="17">
        <v>2</v>
      </c>
      <c r="AA26" s="17"/>
      <c r="AB26" s="17"/>
      <c r="AC26" s="17"/>
      <c r="AD26" s="17"/>
      <c r="AE26" s="17"/>
      <c r="AF26" s="17"/>
      <c r="AG26" s="18"/>
    </row>
    <row r="27" spans="2:33" ht="13.5" customHeight="1">
      <c r="B27" s="19">
        <v>22</v>
      </c>
      <c r="C27" s="24" t="s">
        <v>56</v>
      </c>
      <c r="D27" s="21">
        <v>6</v>
      </c>
      <c r="E27" s="22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>
        <v>1</v>
      </c>
      <c r="V27" s="17">
        <v>2</v>
      </c>
      <c r="W27" s="17">
        <v>1</v>
      </c>
      <c r="X27" s="17"/>
      <c r="Y27" s="17"/>
      <c r="Z27" s="17">
        <v>2</v>
      </c>
      <c r="AA27" s="17"/>
      <c r="AB27" s="17"/>
      <c r="AC27" s="17"/>
      <c r="AD27" s="17"/>
      <c r="AE27" s="17"/>
      <c r="AF27" s="17"/>
      <c r="AG27" s="18"/>
    </row>
    <row r="28" spans="2:33" ht="13.5" customHeight="1">
      <c r="B28" s="19">
        <v>23</v>
      </c>
      <c r="C28" s="24" t="s">
        <v>57</v>
      </c>
      <c r="D28" s="21">
        <v>6</v>
      </c>
      <c r="E28" s="22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>
        <v>3</v>
      </c>
      <c r="Y28" s="17">
        <v>3</v>
      </c>
      <c r="Z28" s="17"/>
      <c r="AA28" s="17"/>
      <c r="AB28" s="17"/>
      <c r="AC28" s="17"/>
      <c r="AD28" s="17"/>
      <c r="AE28" s="17"/>
      <c r="AF28" s="17"/>
      <c r="AG28" s="18"/>
    </row>
    <row r="29" spans="2:33" ht="13.5" customHeight="1">
      <c r="B29" s="19">
        <v>24</v>
      </c>
      <c r="C29" s="24" t="s">
        <v>58</v>
      </c>
      <c r="D29" s="21">
        <v>6</v>
      </c>
      <c r="E29" s="22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>
        <v>1</v>
      </c>
      <c r="X29" s="17">
        <v>2</v>
      </c>
      <c r="Y29" s="17">
        <v>1</v>
      </c>
      <c r="Z29" s="17">
        <v>2</v>
      </c>
      <c r="AA29" s="17"/>
      <c r="AB29" s="17"/>
      <c r="AC29" s="17"/>
      <c r="AD29" s="17"/>
      <c r="AE29" s="17"/>
      <c r="AF29" s="17"/>
      <c r="AG29" s="18"/>
    </row>
    <row r="30" spans="2:33" ht="13.5" customHeight="1">
      <c r="B30" s="19">
        <v>25</v>
      </c>
      <c r="C30" s="24" t="s">
        <v>59</v>
      </c>
      <c r="D30" s="21">
        <v>2</v>
      </c>
      <c r="E30" s="22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>
        <v>2</v>
      </c>
      <c r="Z30" s="17"/>
      <c r="AA30" s="17"/>
      <c r="AB30" s="17"/>
      <c r="AC30" s="17"/>
      <c r="AD30" s="17"/>
      <c r="AE30" s="17"/>
      <c r="AF30" s="17"/>
      <c r="AG30" s="18"/>
    </row>
    <row r="31" spans="2:33" ht="13.5" customHeight="1">
      <c r="B31" s="19">
        <v>26</v>
      </c>
      <c r="C31" s="24" t="s">
        <v>60</v>
      </c>
      <c r="D31" s="21">
        <v>6</v>
      </c>
      <c r="E31" s="22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>
        <v>2</v>
      </c>
      <c r="Z31" s="17">
        <v>2</v>
      </c>
      <c r="AA31" s="17">
        <v>2</v>
      </c>
      <c r="AB31" s="17"/>
      <c r="AC31" s="17"/>
      <c r="AD31" s="17"/>
      <c r="AE31" s="17"/>
      <c r="AF31" s="17"/>
      <c r="AG31" s="18"/>
    </row>
    <row r="32" spans="2:33" ht="13.5" customHeight="1">
      <c r="B32" s="19">
        <v>27</v>
      </c>
      <c r="C32" s="24" t="s">
        <v>61</v>
      </c>
      <c r="D32" s="21">
        <v>6</v>
      </c>
      <c r="E32" s="22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>
        <v>2</v>
      </c>
      <c r="AB32" s="17">
        <v>2</v>
      </c>
      <c r="AC32" s="17">
        <v>2</v>
      </c>
      <c r="AD32" s="17"/>
      <c r="AE32" s="17"/>
      <c r="AF32" s="17"/>
      <c r="AG32" s="18"/>
    </row>
    <row r="33" spans="2:33" ht="13.5" customHeight="1">
      <c r="B33" s="19">
        <v>28</v>
      </c>
      <c r="C33" s="24" t="s">
        <v>62</v>
      </c>
      <c r="D33" s="21">
        <v>6</v>
      </c>
      <c r="E33" s="22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>
        <v>3</v>
      </c>
      <c r="AA33" s="17">
        <v>1</v>
      </c>
      <c r="AB33" s="17">
        <v>2</v>
      </c>
      <c r="AC33" s="17"/>
      <c r="AD33" s="17"/>
      <c r="AE33" s="17"/>
      <c r="AF33" s="17"/>
      <c r="AG33" s="18"/>
    </row>
    <row r="34" spans="2:33" ht="13.5" customHeight="1">
      <c r="B34" s="19">
        <v>29</v>
      </c>
      <c r="C34" s="24" t="s">
        <v>63</v>
      </c>
      <c r="D34" s="21">
        <v>6</v>
      </c>
      <c r="E34" s="22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>
        <v>3</v>
      </c>
      <c r="AA34" s="17">
        <v>2</v>
      </c>
      <c r="AB34" s="17"/>
      <c r="AC34" s="17">
        <v>1</v>
      </c>
      <c r="AD34" s="17"/>
      <c r="AE34" s="17"/>
      <c r="AF34" s="17"/>
      <c r="AG34" s="18"/>
    </row>
    <row r="35" spans="2:33" ht="13.5" customHeight="1">
      <c r="B35" s="19">
        <v>30</v>
      </c>
      <c r="C35" s="24" t="s">
        <v>64</v>
      </c>
      <c r="D35" s="21">
        <v>6</v>
      </c>
      <c r="E35" s="22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>
        <v>2</v>
      </c>
      <c r="AB35" s="17">
        <v>2</v>
      </c>
      <c r="AC35" s="17">
        <v>2</v>
      </c>
      <c r="AD35" s="17"/>
      <c r="AE35" s="17"/>
      <c r="AF35" s="17"/>
      <c r="AG35" s="18"/>
    </row>
    <row r="36" spans="2:33" ht="13.5" customHeight="1">
      <c r="B36" s="19">
        <v>31</v>
      </c>
      <c r="C36" s="24" t="s">
        <v>65</v>
      </c>
      <c r="D36" s="21">
        <v>8</v>
      </c>
      <c r="E36" s="22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>
        <v>1</v>
      </c>
      <c r="AA36" s="17">
        <v>3</v>
      </c>
      <c r="AB36" s="17">
        <v>2</v>
      </c>
      <c r="AC36" s="17">
        <v>2</v>
      </c>
      <c r="AD36" s="17"/>
      <c r="AE36" s="17"/>
      <c r="AF36" s="17"/>
      <c r="AG36" s="18"/>
    </row>
    <row r="37" spans="2:33" ht="13.5" customHeight="1">
      <c r="B37" s="19">
        <v>32</v>
      </c>
      <c r="C37" s="24" t="s">
        <v>66</v>
      </c>
      <c r="D37" s="21">
        <v>1</v>
      </c>
      <c r="E37" s="22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>
        <v>1</v>
      </c>
      <c r="AE37" s="17"/>
      <c r="AF37" s="17"/>
      <c r="AG37" s="18"/>
    </row>
    <row r="38" spans="2:33" ht="13.5" customHeight="1">
      <c r="B38" s="19">
        <v>33</v>
      </c>
      <c r="C38" s="24" t="s">
        <v>67</v>
      </c>
      <c r="D38" s="21">
        <v>3</v>
      </c>
      <c r="E38" s="22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>
        <v>1</v>
      </c>
      <c r="AC38" s="17">
        <v>2</v>
      </c>
      <c r="AD38" s="17"/>
      <c r="AE38" s="17"/>
      <c r="AF38" s="17"/>
      <c r="AG38" s="18"/>
    </row>
    <row r="39" spans="2:33" ht="13.5" customHeight="1">
      <c r="B39" s="19"/>
      <c r="C39" s="24"/>
      <c r="D39" s="21"/>
      <c r="E39" s="22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8"/>
    </row>
    <row r="40" spans="2:33" ht="13.5" customHeight="1">
      <c r="B40" s="19"/>
      <c r="C40" s="24"/>
      <c r="D40" s="21"/>
      <c r="E40" s="25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7"/>
    </row>
    <row r="41" spans="2:33" ht="15" customHeight="1">
      <c r="B41" s="105" t="s">
        <v>68</v>
      </c>
      <c r="C41" s="105"/>
      <c r="D41" s="28">
        <v>0</v>
      </c>
      <c r="E41" s="29">
        <f>SUM(E6:E40)</f>
        <v>0</v>
      </c>
      <c r="F41" s="30">
        <f>SUM(F6:F40)</f>
        <v>0</v>
      </c>
      <c r="G41" s="30">
        <f>SUM(G6:G40)</f>
        <v>5</v>
      </c>
      <c r="H41" s="30">
        <f>SUM(H6:H40)</f>
        <v>7</v>
      </c>
      <c r="I41" s="30">
        <f>SUM(I6:I40)</f>
        <v>10</v>
      </c>
      <c r="J41" s="30">
        <f>SUM(J6:J40)</f>
        <v>4</v>
      </c>
      <c r="K41" s="30">
        <f>SUM(K6:K40)</f>
        <v>4</v>
      </c>
      <c r="L41" s="30">
        <f>SUM(L6:L40)</f>
        <v>6</v>
      </c>
      <c r="M41" s="30">
        <f>SUM(M6:M40)</f>
        <v>8</v>
      </c>
      <c r="N41" s="30">
        <f>SUM(N6:N40)</f>
        <v>7</v>
      </c>
      <c r="O41" s="30">
        <f>SUM(O6:O40)</f>
        <v>5</v>
      </c>
      <c r="P41" s="30">
        <f>SUM(P6:P40)</f>
        <v>6</v>
      </c>
      <c r="Q41" s="30">
        <f>SUM(Q6:Q40)</f>
        <v>4</v>
      </c>
      <c r="R41" s="30">
        <f>SUM(R6:R40)</f>
        <v>0</v>
      </c>
      <c r="S41" s="30">
        <f>SUM(S6:S40)</f>
        <v>0</v>
      </c>
      <c r="T41" s="30">
        <f>SUM(T6:T40)</f>
        <v>2</v>
      </c>
      <c r="U41" s="30">
        <f>SUM(U6:U40)</f>
        <v>2</v>
      </c>
      <c r="V41" s="30">
        <f>SUM(V6:V40)</f>
        <v>5</v>
      </c>
      <c r="W41" s="30">
        <f>SUM(W6:W40)</f>
        <v>6</v>
      </c>
      <c r="X41" s="30">
        <f>SUM(X6:X40)</f>
        <v>14</v>
      </c>
      <c r="Y41" s="30">
        <f>SUM(Y6:Y40)</f>
        <v>15</v>
      </c>
      <c r="Z41" s="30">
        <f>SUM(Z6:Z40)</f>
        <v>15</v>
      </c>
      <c r="AA41" s="30">
        <f>SUM(AA6:AA40)</f>
        <v>12</v>
      </c>
      <c r="AB41" s="30">
        <f>SUM(AB6:AB40)</f>
        <v>9</v>
      </c>
      <c r="AC41" s="30">
        <f>SUM(AC6:AC40)</f>
        <v>9</v>
      </c>
      <c r="AD41" s="30">
        <f>SUM(AD6:AD40)</f>
        <v>1</v>
      </c>
      <c r="AE41" s="30">
        <f>SUM(AE6:AE40)</f>
        <v>0</v>
      </c>
      <c r="AF41" s="30">
        <f>SUM(AF6:AF40)</f>
        <v>0</v>
      </c>
      <c r="AG41" s="31">
        <f>SUM(AG6:AG40)</f>
        <v>0</v>
      </c>
    </row>
    <row r="42" spans="2:33" ht="13.5" customHeight="1">
      <c r="B42" s="106" t="s">
        <v>69</v>
      </c>
      <c r="C42" s="106"/>
      <c r="D42" s="32">
        <f>SUM(D6:D41)</f>
        <v>156</v>
      </c>
      <c r="E42" s="33">
        <f>D42-SUM(E6:E40)</f>
        <v>156</v>
      </c>
      <c r="F42" s="34">
        <f>E42-SUM(F6:F40)</f>
        <v>156</v>
      </c>
      <c r="G42" s="34">
        <f>F42-SUM(G6:G40)</f>
        <v>151</v>
      </c>
      <c r="H42" s="34">
        <f>G42-SUM(H6:H40)</f>
        <v>144</v>
      </c>
      <c r="I42" s="34">
        <f>H42-SUM(I6:I40)</f>
        <v>134</v>
      </c>
      <c r="J42" s="34">
        <f>I42-SUM(J6:J40)</f>
        <v>130</v>
      </c>
      <c r="K42" s="34">
        <f>J42-SUM(K6:K40)</f>
        <v>126</v>
      </c>
      <c r="L42" s="34">
        <f>K42-SUM(L6:L40)</f>
        <v>120</v>
      </c>
      <c r="M42" s="34">
        <f>L42-SUM(M6:M40)</f>
        <v>112</v>
      </c>
      <c r="N42" s="34">
        <f>M42-SUM(N6:N40)</f>
        <v>105</v>
      </c>
      <c r="O42" s="34">
        <f>N42-SUM(O6:O40)</f>
        <v>100</v>
      </c>
      <c r="P42" s="34">
        <f>O42-SUM(P6:P40)</f>
        <v>94</v>
      </c>
      <c r="Q42" s="34">
        <f>P42-SUM(Q6:Q40)</f>
        <v>90</v>
      </c>
      <c r="R42" s="34">
        <f>Q42-SUM(R6:R40)</f>
        <v>90</v>
      </c>
      <c r="S42" s="34">
        <f>R42-SUM(S6:S40)</f>
        <v>90</v>
      </c>
      <c r="T42" s="34">
        <f>S42-SUM(T6:T40)</f>
        <v>88</v>
      </c>
      <c r="U42" s="34">
        <f>T42-SUM(U6:U40)</f>
        <v>86</v>
      </c>
      <c r="V42" s="34">
        <f>U42-SUM(V6:V40)</f>
        <v>81</v>
      </c>
      <c r="W42" s="34">
        <f>V42-SUM(W6:W40)</f>
        <v>75</v>
      </c>
      <c r="X42" s="34">
        <f>W42-SUM(X6:X40)</f>
        <v>61</v>
      </c>
      <c r="Y42" s="34">
        <f>X42-SUM(Y6:Y40)</f>
        <v>46</v>
      </c>
      <c r="Z42" s="34">
        <f>Y42-SUM(Z6:Z40)</f>
        <v>31</v>
      </c>
      <c r="AA42" s="34">
        <f>Z42-SUM(AA6:AA40)</f>
        <v>19</v>
      </c>
      <c r="AB42" s="34">
        <f>AA42-SUM(AB6:AB40)</f>
        <v>10</v>
      </c>
      <c r="AC42" s="34">
        <f>AB42-SUM(AC6:AC40)</f>
        <v>1</v>
      </c>
      <c r="AD42" s="34">
        <f>AC42-SUM(AD6:AD40)</f>
        <v>0</v>
      </c>
      <c r="AE42" s="34">
        <f>AD42-SUM(AE6:AE40)</f>
        <v>0</v>
      </c>
      <c r="AF42" s="34">
        <f>AE42-SUM(AF6:AF40)</f>
        <v>0</v>
      </c>
      <c r="AG42" s="35">
        <f>AF42-SUM(AG6:AG40)</f>
        <v>0</v>
      </c>
    </row>
    <row r="43" spans="2:33" ht="13.5" customHeight="1">
      <c r="B43" s="107" t="s">
        <v>70</v>
      </c>
      <c r="C43" s="107"/>
      <c r="D43" s="36">
        <f>D42</f>
        <v>156</v>
      </c>
      <c r="E43" s="37">
        <f>$D$43-($D$43/29*1)</f>
        <v>150.62068965517241</v>
      </c>
      <c r="F43" s="38">
        <f>$D$43-($D$43/29*2)</f>
        <v>145.24137931034483</v>
      </c>
      <c r="G43" s="38">
        <f>$D$43-($D$43/29*3)</f>
        <v>139.86206896551724</v>
      </c>
      <c r="H43" s="38">
        <f>$D$43-($D$43/29*4)</f>
        <v>134.48275862068965</v>
      </c>
      <c r="I43" s="38">
        <f>$D$43-($D$43/29*5)</f>
        <v>129.10344827586206</v>
      </c>
      <c r="J43" s="38">
        <f>$D$43-($D$43/29*6)</f>
        <v>123.72413793103448</v>
      </c>
      <c r="K43" s="38">
        <f>$D$43-($D$43/29*7)</f>
        <v>118.34482758620689</v>
      </c>
      <c r="L43" s="38">
        <f>$D$43-($D$43/29*8)</f>
        <v>112.9655172413793</v>
      </c>
      <c r="M43" s="38">
        <f>$D$43-($D$43/29*9)</f>
        <v>107.58620689655172</v>
      </c>
      <c r="N43" s="38">
        <f>$D$43-($D$43/29*10)</f>
        <v>102.20689655172413</v>
      </c>
      <c r="O43" s="38">
        <f>$D$43-($D$43/29*11)</f>
        <v>96.827586206896541</v>
      </c>
      <c r="P43" s="38">
        <f>$D$43-($D$43/29*12)</f>
        <v>91.448275862068968</v>
      </c>
      <c r="Q43" s="38">
        <f>$D$43-($D$43/29*13)</f>
        <v>86.068965517241381</v>
      </c>
      <c r="R43" s="38">
        <f>$D$43-($D$43/29*14)</f>
        <v>80.689655172413794</v>
      </c>
      <c r="S43" s="38">
        <f>$D$43-($D$43/29*15)</f>
        <v>75.310344827586206</v>
      </c>
      <c r="T43" s="38">
        <f>$D$43-($D$43/29*16)</f>
        <v>69.931034482758619</v>
      </c>
      <c r="U43" s="38">
        <f>$D$43-($D$43/29*17)</f>
        <v>64.551724137931032</v>
      </c>
      <c r="V43" s="38">
        <f>$D$43-($D$43/29*18)</f>
        <v>59.172413793103445</v>
      </c>
      <c r="W43" s="38">
        <f>$D$43-($D$43/29*19)</f>
        <v>53.793103448275858</v>
      </c>
      <c r="X43" s="38">
        <f>$D$43-($D$43/29*20)</f>
        <v>48.41379310344827</v>
      </c>
      <c r="Y43" s="38">
        <f>$D$43-($D$43/29*21)</f>
        <v>43.034482758620683</v>
      </c>
      <c r="Z43" s="38">
        <f>$D$43-($D$43/29*22)</f>
        <v>37.655172413793096</v>
      </c>
      <c r="AA43" s="38">
        <f>$D$43-($D$43/29*23)</f>
        <v>32.275862068965509</v>
      </c>
      <c r="AB43" s="38">
        <f>$D$43-($D$43/29*24)</f>
        <v>26.896551724137936</v>
      </c>
      <c r="AC43" s="38">
        <f>$D$43-($D$43/29*25)</f>
        <v>21.517241379310349</v>
      </c>
      <c r="AD43" s="38">
        <f>$D$43-($D$43/29*26)</f>
        <v>16.137931034482762</v>
      </c>
      <c r="AE43" s="38">
        <f>$D$43-($D$43/29*27)</f>
        <v>10.758620689655174</v>
      </c>
      <c r="AF43" s="38">
        <f>$D$43-($D$43/29*28)</f>
        <v>5.3793103448275872</v>
      </c>
      <c r="AG43" s="39">
        <f>$D$43-($D$43/29*29)</f>
        <v>0</v>
      </c>
    </row>
    <row r="44" spans="2:33" ht="13.5" customHeight="1">
      <c r="Q44" s="40" t="s">
        <v>71</v>
      </c>
    </row>
    <row r="45" spans="2:33" ht="13.5" customHeight="1"/>
    <row r="46" spans="2:33" ht="13.5" customHeight="1"/>
    <row r="47" spans="2:33" ht="13.5" customHeight="1"/>
    <row r="48" spans="2:33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8">
    <mergeCell ref="B41:C41"/>
    <mergeCell ref="B42:C42"/>
    <mergeCell ref="B43:C43"/>
    <mergeCell ref="B2:AG2"/>
    <mergeCell ref="B3:K3"/>
    <mergeCell ref="B4:B5"/>
    <mergeCell ref="C4:C5"/>
    <mergeCell ref="D4:D5"/>
  </mergeCells>
  <pageMargins left="0.7" right="0.7" top="0.75" bottom="0.75" header="0.511811023622047" footer="0.511811023622047"/>
  <pageSetup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R1000"/>
  <sheetViews>
    <sheetView tabSelected="1" topLeftCell="A11" zoomScale="80" zoomScaleNormal="80" workbookViewId="0">
      <selection activeCell="M20" sqref="M20"/>
    </sheetView>
  </sheetViews>
  <sheetFormatPr defaultColWidth="14.42578125" defaultRowHeight="15"/>
  <cols>
    <col min="1" max="1" width="9" customWidth="1"/>
    <col min="2" max="2" width="7.140625" customWidth="1"/>
    <col min="3" max="3" width="73.140625" customWidth="1"/>
    <col min="4" max="4" width="16.85546875" customWidth="1"/>
    <col min="5" max="43" width="13" customWidth="1"/>
  </cols>
  <sheetData>
    <row r="1" spans="2:44" ht="14.25" customHeight="1"/>
    <row r="2" spans="2:44" ht="27" customHeight="1">
      <c r="B2" s="113" t="s">
        <v>72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113"/>
      <c r="AD2" s="113"/>
      <c r="AE2" s="113"/>
      <c r="AF2" s="113"/>
      <c r="AG2" s="113"/>
      <c r="AH2" s="113"/>
      <c r="AI2" s="113"/>
      <c r="AJ2" s="113"/>
      <c r="AK2" s="113"/>
      <c r="AL2" s="113"/>
      <c r="AM2" s="113"/>
      <c r="AN2" s="113"/>
      <c r="AO2" s="113"/>
      <c r="AP2" s="113"/>
    </row>
    <row r="3" spans="2:44" ht="13.5" customHeight="1">
      <c r="B3" s="109"/>
      <c r="C3" s="109"/>
      <c r="D3" s="109"/>
      <c r="E3" s="109"/>
      <c r="F3" s="109"/>
      <c r="G3" s="109"/>
      <c r="H3" s="109"/>
      <c r="I3" s="109"/>
      <c r="J3" s="109"/>
      <c r="K3" s="109"/>
      <c r="AG3" s="41"/>
      <c r="AH3" s="42"/>
    </row>
    <row r="4" spans="2:44" ht="15" customHeight="1">
      <c r="B4" s="110" t="s">
        <v>1</v>
      </c>
      <c r="C4" s="114" t="s">
        <v>2</v>
      </c>
      <c r="D4" s="112" t="s">
        <v>3</v>
      </c>
      <c r="E4" s="2">
        <v>45957</v>
      </c>
      <c r="F4" s="3">
        <v>45958</v>
      </c>
      <c r="G4" s="3">
        <v>45959</v>
      </c>
      <c r="H4" s="3">
        <v>45960</v>
      </c>
      <c r="I4" s="3">
        <v>45961</v>
      </c>
      <c r="J4" s="3">
        <v>45962</v>
      </c>
      <c r="K4" s="3">
        <v>45963</v>
      </c>
      <c r="L4" s="3">
        <v>45964</v>
      </c>
      <c r="M4" s="3">
        <v>45965</v>
      </c>
      <c r="N4" s="3">
        <v>45966</v>
      </c>
      <c r="O4" s="3">
        <v>45967</v>
      </c>
      <c r="P4" s="3">
        <v>45968</v>
      </c>
      <c r="Q4" s="3">
        <v>45969</v>
      </c>
      <c r="R4" s="3">
        <v>45970</v>
      </c>
      <c r="S4" s="3">
        <v>45971</v>
      </c>
      <c r="T4" s="3">
        <v>45972</v>
      </c>
      <c r="U4" s="3">
        <v>45973</v>
      </c>
      <c r="V4" s="3">
        <v>45974</v>
      </c>
      <c r="W4" s="3">
        <v>45975</v>
      </c>
      <c r="X4" s="3">
        <v>45976</v>
      </c>
      <c r="Y4" s="3">
        <v>45977</v>
      </c>
      <c r="Z4" s="3">
        <v>45978</v>
      </c>
      <c r="AA4" s="3">
        <v>45979</v>
      </c>
      <c r="AB4" s="3">
        <v>45980</v>
      </c>
      <c r="AC4" s="3">
        <v>45981</v>
      </c>
      <c r="AD4" s="3">
        <v>45982</v>
      </c>
      <c r="AE4" s="3">
        <v>45983</v>
      </c>
      <c r="AF4" s="3">
        <v>45984</v>
      </c>
      <c r="AG4" s="3">
        <v>45985</v>
      </c>
      <c r="AH4" s="3">
        <v>45986</v>
      </c>
      <c r="AI4" s="3">
        <v>45987</v>
      </c>
      <c r="AJ4" s="3">
        <v>45988</v>
      </c>
      <c r="AK4" s="3">
        <v>45989</v>
      </c>
      <c r="AL4" s="3">
        <v>45990</v>
      </c>
      <c r="AM4" s="3">
        <v>45991</v>
      </c>
      <c r="AN4" s="3">
        <v>45992</v>
      </c>
      <c r="AO4" s="3">
        <v>45993</v>
      </c>
      <c r="AP4" s="3">
        <v>45994</v>
      </c>
    </row>
    <row r="5" spans="2:44" ht="13.5" customHeight="1">
      <c r="B5" s="110"/>
      <c r="C5" s="115"/>
      <c r="D5" s="112"/>
      <c r="E5" s="4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4" t="s">
        <v>9</v>
      </c>
      <c r="K5" s="5" t="s">
        <v>10</v>
      </c>
      <c r="L5" s="5" t="s">
        <v>11</v>
      </c>
      <c r="M5" s="5" t="s">
        <v>12</v>
      </c>
      <c r="N5" s="5" t="s">
        <v>13</v>
      </c>
      <c r="O5" s="4" t="s">
        <v>14</v>
      </c>
      <c r="P5" s="5" t="s">
        <v>15</v>
      </c>
      <c r="Q5" s="5" t="s">
        <v>16</v>
      </c>
      <c r="R5" s="5" t="s">
        <v>17</v>
      </c>
      <c r="S5" s="5" t="s">
        <v>18</v>
      </c>
      <c r="T5" s="4" t="s">
        <v>19</v>
      </c>
      <c r="U5" s="5" t="s">
        <v>20</v>
      </c>
      <c r="V5" s="5" t="s">
        <v>21</v>
      </c>
      <c r="W5" s="5" t="s">
        <v>22</v>
      </c>
      <c r="X5" s="5" t="s">
        <v>23</v>
      </c>
      <c r="Y5" s="4" t="s">
        <v>24</v>
      </c>
      <c r="Z5" s="5" t="s">
        <v>25</v>
      </c>
      <c r="AA5" s="5" t="s">
        <v>26</v>
      </c>
      <c r="AB5" s="5" t="s">
        <v>27</v>
      </c>
      <c r="AC5" s="5" t="s">
        <v>28</v>
      </c>
      <c r="AD5" s="4" t="s">
        <v>29</v>
      </c>
      <c r="AE5" s="5" t="s">
        <v>30</v>
      </c>
      <c r="AF5" s="5" t="s">
        <v>31</v>
      </c>
      <c r="AG5" s="5" t="s">
        <v>32</v>
      </c>
      <c r="AH5" s="5" t="s">
        <v>73</v>
      </c>
      <c r="AI5" s="4" t="s">
        <v>74</v>
      </c>
      <c r="AJ5" s="5" t="s">
        <v>75</v>
      </c>
      <c r="AK5" s="5" t="s">
        <v>76</v>
      </c>
      <c r="AL5" s="5" t="s">
        <v>77</v>
      </c>
      <c r="AM5" s="5" t="s">
        <v>78</v>
      </c>
      <c r="AN5" s="4" t="s">
        <v>79</v>
      </c>
      <c r="AO5" s="5" t="s">
        <v>80</v>
      </c>
      <c r="AP5" s="5" t="s">
        <v>81</v>
      </c>
      <c r="AR5" s="7" t="s">
        <v>33</v>
      </c>
    </row>
    <row r="6" spans="2:44" ht="13.5" customHeight="1">
      <c r="B6" s="8">
        <v>1</v>
      </c>
      <c r="C6" s="9" t="s">
        <v>82</v>
      </c>
      <c r="D6" s="10">
        <v>5</v>
      </c>
      <c r="E6" s="11"/>
      <c r="F6" s="12"/>
      <c r="G6" s="12"/>
      <c r="H6" s="12"/>
      <c r="I6" s="12"/>
      <c r="J6" s="12"/>
      <c r="K6" s="12"/>
      <c r="L6" s="12"/>
      <c r="M6" s="12"/>
      <c r="N6" s="12">
        <v>1</v>
      </c>
      <c r="O6" s="12">
        <v>2</v>
      </c>
      <c r="P6" s="12">
        <v>2</v>
      </c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3"/>
    </row>
    <row r="7" spans="2:44" ht="13.5" customHeight="1">
      <c r="B7" s="14">
        <v>2</v>
      </c>
      <c r="C7" s="15" t="s">
        <v>83</v>
      </c>
      <c r="D7" s="10">
        <v>4</v>
      </c>
      <c r="E7" s="16"/>
      <c r="F7" s="17">
        <v>1</v>
      </c>
      <c r="G7" s="17"/>
      <c r="H7" s="17"/>
      <c r="I7" s="17"/>
      <c r="J7" s="17"/>
      <c r="K7" s="17"/>
      <c r="L7" s="17"/>
      <c r="M7" s="17"/>
      <c r="N7" s="17"/>
      <c r="O7" s="17"/>
      <c r="P7" s="17"/>
      <c r="Q7" s="17">
        <v>2</v>
      </c>
      <c r="R7" s="17">
        <v>1</v>
      </c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8"/>
      <c r="AR7" s="7" t="s">
        <v>36</v>
      </c>
    </row>
    <row r="8" spans="2:44" ht="13.5" customHeight="1">
      <c r="B8" s="14">
        <v>3</v>
      </c>
      <c r="C8" s="15" t="s">
        <v>84</v>
      </c>
      <c r="D8" s="10">
        <v>5</v>
      </c>
      <c r="E8" s="16"/>
      <c r="F8" s="17"/>
      <c r="G8" s="17"/>
      <c r="H8" s="17"/>
      <c r="I8" s="17"/>
      <c r="J8" s="17"/>
      <c r="K8" s="17"/>
      <c r="L8" s="17"/>
      <c r="M8" s="17"/>
      <c r="N8" s="17"/>
      <c r="O8" s="17"/>
      <c r="P8" s="17">
        <v>2</v>
      </c>
      <c r="Q8" s="17">
        <v>2</v>
      </c>
      <c r="R8" s="17">
        <v>1</v>
      </c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8"/>
    </row>
    <row r="9" spans="2:44" ht="13.5" customHeight="1">
      <c r="B9" s="14">
        <v>4</v>
      </c>
      <c r="C9" s="43" t="s">
        <v>85</v>
      </c>
      <c r="D9" s="10">
        <v>8</v>
      </c>
      <c r="E9" s="16"/>
      <c r="F9" s="17"/>
      <c r="G9" s="17"/>
      <c r="H9" s="17"/>
      <c r="I9" s="17"/>
      <c r="J9" s="17"/>
      <c r="K9" s="17"/>
      <c r="L9" s="17"/>
      <c r="M9" s="17"/>
      <c r="N9" s="17"/>
      <c r="O9" s="17"/>
      <c r="P9" s="17">
        <v>2</v>
      </c>
      <c r="Q9" s="17">
        <v>2</v>
      </c>
      <c r="R9" s="17">
        <v>2</v>
      </c>
      <c r="S9" s="17">
        <v>1</v>
      </c>
      <c r="T9" s="17">
        <v>1</v>
      </c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8"/>
    </row>
    <row r="10" spans="2:44" ht="13.5" customHeight="1">
      <c r="B10" s="14">
        <v>5</v>
      </c>
      <c r="C10" s="43" t="s">
        <v>86</v>
      </c>
      <c r="D10" s="10">
        <v>6</v>
      </c>
      <c r="E10" s="16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>
        <v>2</v>
      </c>
      <c r="V10" s="17">
        <v>2</v>
      </c>
      <c r="W10" s="17">
        <v>1</v>
      </c>
      <c r="X10" s="17"/>
      <c r="Y10" s="17"/>
      <c r="Z10" s="17"/>
      <c r="AA10" s="17">
        <v>1</v>
      </c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8"/>
    </row>
    <row r="11" spans="2:44" ht="13.5" customHeight="1">
      <c r="B11" s="19">
        <v>6</v>
      </c>
      <c r="C11" s="20" t="s">
        <v>87</v>
      </c>
      <c r="D11" s="21">
        <v>4</v>
      </c>
      <c r="E11" s="22"/>
      <c r="F11" s="17"/>
      <c r="G11" s="17"/>
      <c r="H11" s="17"/>
      <c r="I11" s="17"/>
      <c r="J11" s="17"/>
      <c r="K11" s="22"/>
      <c r="L11" s="17"/>
      <c r="M11" s="17"/>
      <c r="N11" s="17"/>
      <c r="O11" s="17"/>
      <c r="P11" s="17"/>
      <c r="Q11" s="17"/>
      <c r="R11" s="17">
        <v>2</v>
      </c>
      <c r="S11" s="17">
        <v>1</v>
      </c>
      <c r="T11" s="17">
        <v>1</v>
      </c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8"/>
    </row>
    <row r="12" spans="2:44" ht="13.5" customHeight="1">
      <c r="B12" s="19">
        <v>7</v>
      </c>
      <c r="C12" s="44" t="s">
        <v>88</v>
      </c>
      <c r="D12" s="21">
        <v>3</v>
      </c>
      <c r="E12" s="22"/>
      <c r="F12" s="17"/>
      <c r="G12" s="17"/>
      <c r="H12" s="17"/>
      <c r="I12" s="17"/>
      <c r="J12" s="17"/>
      <c r="K12" s="22"/>
      <c r="L12" s="17"/>
      <c r="M12" s="17"/>
      <c r="N12" s="17"/>
      <c r="O12" s="17"/>
      <c r="P12" s="17"/>
      <c r="Q12" s="17"/>
      <c r="R12" s="17"/>
      <c r="S12" s="17"/>
      <c r="T12" s="17"/>
      <c r="U12" s="17">
        <v>1</v>
      </c>
      <c r="V12" s="17">
        <v>1</v>
      </c>
      <c r="W12" s="17">
        <v>1</v>
      </c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8"/>
    </row>
    <row r="13" spans="2:44" ht="13.5" customHeight="1">
      <c r="B13" s="19">
        <v>8</v>
      </c>
      <c r="C13" s="44" t="s">
        <v>89</v>
      </c>
      <c r="D13" s="21">
        <v>6</v>
      </c>
      <c r="E13" s="22"/>
      <c r="F13" s="17"/>
      <c r="G13" s="17"/>
      <c r="H13" s="17"/>
      <c r="I13" s="17">
        <v>2</v>
      </c>
      <c r="J13" s="17">
        <v>2</v>
      </c>
      <c r="K13" s="22">
        <v>1</v>
      </c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>
        <v>1</v>
      </c>
      <c r="AH13" s="17"/>
      <c r="AI13" s="17"/>
      <c r="AJ13" s="17"/>
      <c r="AK13" s="17"/>
      <c r="AL13" s="17"/>
      <c r="AM13" s="17"/>
      <c r="AN13" s="17"/>
      <c r="AO13" s="17"/>
      <c r="AP13" s="18"/>
    </row>
    <row r="14" spans="2:44" ht="13.5" customHeight="1">
      <c r="B14" s="19">
        <v>9</v>
      </c>
      <c r="C14" s="20" t="s">
        <v>90</v>
      </c>
      <c r="D14" s="21">
        <v>5</v>
      </c>
      <c r="E14" s="22"/>
      <c r="F14" s="17"/>
      <c r="G14" s="17"/>
      <c r="H14" s="17"/>
      <c r="I14" s="17"/>
      <c r="J14" s="17"/>
      <c r="K14" s="22"/>
      <c r="L14" s="17"/>
      <c r="M14" s="17"/>
      <c r="N14" s="17"/>
      <c r="O14" s="17">
        <v>1</v>
      </c>
      <c r="P14" s="17">
        <v>1</v>
      </c>
      <c r="Q14" s="17">
        <v>1</v>
      </c>
      <c r="R14" s="17">
        <v>1</v>
      </c>
      <c r="S14" s="17">
        <v>1</v>
      </c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8"/>
    </row>
    <row r="15" spans="2:44" ht="13.5" customHeight="1">
      <c r="B15" s="19">
        <v>10</v>
      </c>
      <c r="C15" s="20" t="s">
        <v>91</v>
      </c>
      <c r="D15" s="21">
        <v>5</v>
      </c>
      <c r="E15" s="22"/>
      <c r="F15" s="17"/>
      <c r="G15" s="17"/>
      <c r="H15" s="17"/>
      <c r="I15" s="17"/>
      <c r="J15" s="17"/>
      <c r="K15" s="22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>
        <v>1</v>
      </c>
      <c r="Y15" s="17">
        <v>1</v>
      </c>
      <c r="Z15" s="17">
        <v>2</v>
      </c>
      <c r="AA15" s="17">
        <v>1</v>
      </c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8"/>
    </row>
    <row r="16" spans="2:44" ht="13.5" customHeight="1">
      <c r="B16" s="19">
        <v>11</v>
      </c>
      <c r="C16" s="44" t="s">
        <v>92</v>
      </c>
      <c r="D16" s="21">
        <v>3</v>
      </c>
      <c r="E16" s="22"/>
      <c r="F16" s="17"/>
      <c r="G16" s="17"/>
      <c r="H16" s="17"/>
      <c r="I16" s="17"/>
      <c r="J16" s="17"/>
      <c r="K16" s="22"/>
      <c r="L16" s="17"/>
      <c r="M16" s="17"/>
      <c r="N16" s="17"/>
      <c r="O16" s="17"/>
      <c r="P16" s="17"/>
      <c r="Q16" s="17"/>
      <c r="R16" s="17"/>
      <c r="S16" s="17"/>
      <c r="T16" s="17"/>
      <c r="U16" s="17">
        <v>2</v>
      </c>
      <c r="V16" s="17">
        <v>1</v>
      </c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8"/>
    </row>
    <row r="17" spans="2:42" ht="13.5" customHeight="1">
      <c r="B17" s="19">
        <v>12</v>
      </c>
      <c r="C17" s="44" t="s">
        <v>93</v>
      </c>
      <c r="D17" s="21">
        <v>6</v>
      </c>
      <c r="E17" s="22"/>
      <c r="F17" s="17"/>
      <c r="G17" s="17"/>
      <c r="H17" s="17"/>
      <c r="I17" s="17"/>
      <c r="J17" s="17"/>
      <c r="K17" s="22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>
        <v>1</v>
      </c>
      <c r="Z17" s="17">
        <v>1</v>
      </c>
      <c r="AA17" s="17"/>
      <c r="AB17" s="17">
        <v>1</v>
      </c>
      <c r="AC17" s="17">
        <v>2</v>
      </c>
      <c r="AD17" s="17"/>
      <c r="AE17" s="17"/>
      <c r="AF17" s="17"/>
      <c r="AG17" s="17"/>
      <c r="AH17" s="17"/>
      <c r="AI17" s="17">
        <v>1</v>
      </c>
      <c r="AJ17" s="17"/>
      <c r="AK17" s="17"/>
      <c r="AL17" s="17"/>
      <c r="AM17" s="17"/>
      <c r="AN17" s="17"/>
      <c r="AO17" s="17"/>
      <c r="AP17" s="18"/>
    </row>
    <row r="18" spans="2:42" ht="13.5" customHeight="1">
      <c r="B18" s="19">
        <v>13</v>
      </c>
      <c r="C18" s="45" t="s">
        <v>94</v>
      </c>
      <c r="D18" s="21">
        <v>2</v>
      </c>
      <c r="E18" s="46"/>
      <c r="F18" s="17"/>
      <c r="G18" s="17"/>
      <c r="H18" s="17"/>
      <c r="I18" s="17"/>
      <c r="J18" s="17"/>
      <c r="K18" s="22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>
        <v>1</v>
      </c>
      <c r="X18" s="17"/>
      <c r="Y18" s="17"/>
      <c r="Z18" s="17"/>
      <c r="AA18" s="17">
        <v>1</v>
      </c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8"/>
    </row>
    <row r="19" spans="2:42" ht="13.5" customHeight="1">
      <c r="B19" s="19">
        <v>14</v>
      </c>
      <c r="C19" s="45" t="s">
        <v>95</v>
      </c>
      <c r="D19" s="21">
        <v>7</v>
      </c>
      <c r="E19" s="46"/>
      <c r="F19" s="17"/>
      <c r="G19" s="17"/>
      <c r="H19" s="17"/>
      <c r="I19" s="17"/>
      <c r="J19" s="17"/>
      <c r="K19" s="22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>
        <v>1</v>
      </c>
      <c r="AE19" s="17">
        <v>2</v>
      </c>
      <c r="AF19" s="17"/>
      <c r="AG19" s="17"/>
      <c r="AH19" s="17"/>
      <c r="AI19" s="17">
        <v>1</v>
      </c>
      <c r="AJ19" s="17">
        <v>2</v>
      </c>
      <c r="AK19" s="17">
        <v>1</v>
      </c>
      <c r="AL19" s="17"/>
      <c r="AM19" s="17"/>
      <c r="AN19" s="17"/>
      <c r="AO19" s="17"/>
      <c r="AP19" s="18"/>
    </row>
    <row r="20" spans="2:42" ht="13.5" customHeight="1">
      <c r="B20" s="19">
        <v>15</v>
      </c>
      <c r="C20" s="45" t="s">
        <v>96</v>
      </c>
      <c r="D20" s="21">
        <v>3</v>
      </c>
      <c r="E20" s="46"/>
      <c r="F20" s="17"/>
      <c r="G20" s="17"/>
      <c r="H20" s="17"/>
      <c r="I20" s="17"/>
      <c r="J20" s="17"/>
      <c r="K20" s="22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>
        <v>1</v>
      </c>
      <c r="AG20" s="17"/>
      <c r="AH20" s="17">
        <v>1</v>
      </c>
      <c r="AI20" s="17"/>
      <c r="AJ20" s="17">
        <v>1</v>
      </c>
      <c r="AK20" s="17"/>
      <c r="AL20" s="17"/>
      <c r="AM20" s="17"/>
      <c r="AN20" s="17"/>
      <c r="AO20" s="17"/>
      <c r="AP20" s="18"/>
    </row>
    <row r="21" spans="2:42" ht="13.5" customHeight="1">
      <c r="B21" s="19">
        <v>16</v>
      </c>
      <c r="C21" s="45" t="s">
        <v>97</v>
      </c>
      <c r="D21" s="21">
        <v>3</v>
      </c>
      <c r="E21" s="46"/>
      <c r="F21" s="17"/>
      <c r="G21" s="17"/>
      <c r="H21" s="17"/>
      <c r="I21" s="17"/>
      <c r="J21" s="17"/>
      <c r="K21" s="22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>
        <v>1</v>
      </c>
      <c r="AM21" s="17"/>
      <c r="AN21" s="17">
        <v>2</v>
      </c>
      <c r="AO21" s="17"/>
      <c r="AP21" s="18"/>
    </row>
    <row r="22" spans="2:42" ht="13.5" customHeight="1">
      <c r="B22" s="19">
        <v>17</v>
      </c>
      <c r="C22" s="45" t="s">
        <v>98</v>
      </c>
      <c r="D22" s="21">
        <v>3</v>
      </c>
      <c r="E22" s="46"/>
      <c r="F22" s="17"/>
      <c r="G22" s="17"/>
      <c r="H22" s="17"/>
      <c r="I22" s="17"/>
      <c r="J22" s="17"/>
      <c r="K22" s="22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>
        <v>1</v>
      </c>
      <c r="AG22" s="17"/>
      <c r="AH22" s="17"/>
      <c r="AI22" s="17"/>
      <c r="AJ22" s="17">
        <v>1</v>
      </c>
      <c r="AK22" s="17">
        <v>1</v>
      </c>
      <c r="AL22" s="17"/>
      <c r="AM22" s="17"/>
      <c r="AN22" s="17"/>
      <c r="AO22" s="17"/>
      <c r="AP22" s="18"/>
    </row>
    <row r="23" spans="2:42" ht="13.5" customHeight="1">
      <c r="B23" s="19">
        <v>18</v>
      </c>
      <c r="C23" s="45" t="s">
        <v>99</v>
      </c>
      <c r="D23" s="21">
        <v>3</v>
      </c>
      <c r="E23" s="46"/>
      <c r="F23" s="17"/>
      <c r="G23" s="17"/>
      <c r="H23" s="17"/>
      <c r="I23" s="17"/>
      <c r="J23" s="17"/>
      <c r="K23" s="22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>
        <v>2</v>
      </c>
      <c r="AG23" s="17"/>
      <c r="AH23" s="17"/>
      <c r="AI23" s="17"/>
      <c r="AJ23" s="17"/>
      <c r="AK23" s="17"/>
      <c r="AL23" s="17">
        <v>1</v>
      </c>
      <c r="AM23" s="17"/>
      <c r="AN23" s="17"/>
      <c r="AO23" s="17"/>
      <c r="AP23" s="18"/>
    </row>
    <row r="24" spans="2:42" ht="13.5" customHeight="1">
      <c r="B24" s="19">
        <v>19</v>
      </c>
      <c r="C24" s="45" t="s">
        <v>100</v>
      </c>
      <c r="D24" s="21">
        <v>3</v>
      </c>
      <c r="E24" s="46"/>
      <c r="F24" s="17"/>
      <c r="G24" s="17"/>
      <c r="H24" s="17"/>
      <c r="I24" s="17"/>
      <c r="J24" s="17"/>
      <c r="K24" s="22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>
        <v>2</v>
      </c>
      <c r="AM24" s="17">
        <v>1</v>
      </c>
      <c r="AN24" s="17"/>
      <c r="AO24" s="17"/>
      <c r="AP24" s="18"/>
    </row>
    <row r="25" spans="2:42" ht="13.5" customHeight="1">
      <c r="B25" s="19">
        <v>20</v>
      </c>
      <c r="C25" s="45" t="s">
        <v>101</v>
      </c>
      <c r="D25" s="21">
        <v>3</v>
      </c>
      <c r="E25" s="46"/>
      <c r="F25" s="17"/>
      <c r="G25" s="17"/>
      <c r="H25" s="17"/>
      <c r="I25" s="17"/>
      <c r="J25" s="17"/>
      <c r="K25" s="22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>
        <v>2</v>
      </c>
      <c r="AJ25" s="17"/>
      <c r="AK25" s="17"/>
      <c r="AL25" s="17">
        <v>1</v>
      </c>
      <c r="AM25" s="17"/>
      <c r="AN25" s="17"/>
      <c r="AO25" s="17"/>
      <c r="AP25" s="18"/>
    </row>
    <row r="26" spans="2:42" ht="13.5" customHeight="1">
      <c r="B26" s="19">
        <v>21</v>
      </c>
      <c r="C26" s="45" t="s">
        <v>102</v>
      </c>
      <c r="D26" s="21">
        <v>3</v>
      </c>
      <c r="E26" s="46"/>
      <c r="F26" s="17"/>
      <c r="G26" s="17"/>
      <c r="H26" s="17"/>
      <c r="I26" s="17"/>
      <c r="J26" s="17"/>
      <c r="K26" s="22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>
        <v>2</v>
      </c>
      <c r="AG26" s="17"/>
      <c r="AH26" s="17"/>
      <c r="AI26" s="17"/>
      <c r="AJ26" s="17"/>
      <c r="AK26" s="17">
        <v>1</v>
      </c>
      <c r="AL26" s="17"/>
      <c r="AM26" s="17"/>
      <c r="AN26" s="17"/>
      <c r="AO26" s="17"/>
      <c r="AP26" s="18"/>
    </row>
    <row r="27" spans="2:42" ht="13.5" customHeight="1">
      <c r="B27" s="19">
        <v>22</v>
      </c>
      <c r="C27" s="47" t="s">
        <v>103</v>
      </c>
      <c r="D27" s="21">
        <v>3</v>
      </c>
      <c r="E27" s="46"/>
      <c r="F27" s="17"/>
      <c r="G27" s="17"/>
      <c r="H27" s="17"/>
      <c r="I27" s="17"/>
      <c r="J27" s="17"/>
      <c r="K27" s="22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>
        <v>1</v>
      </c>
      <c r="AH27" s="17"/>
      <c r="AI27" s="17"/>
      <c r="AJ27" s="17"/>
      <c r="AK27" s="17"/>
      <c r="AL27" s="17">
        <v>1</v>
      </c>
      <c r="AM27" s="17">
        <v>1</v>
      </c>
      <c r="AN27" s="17"/>
      <c r="AO27" s="17"/>
      <c r="AP27" s="18"/>
    </row>
    <row r="28" spans="2:42" ht="13.5" customHeight="1">
      <c r="B28" s="19">
        <v>23</v>
      </c>
      <c r="C28" s="45" t="s">
        <v>104</v>
      </c>
      <c r="D28" s="21">
        <v>3</v>
      </c>
      <c r="E28" s="46"/>
      <c r="F28" s="17"/>
      <c r="G28" s="17"/>
      <c r="H28" s="17"/>
      <c r="I28" s="17"/>
      <c r="J28" s="17"/>
      <c r="K28" s="22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>
        <v>2</v>
      </c>
      <c r="AI28" s="17"/>
      <c r="AJ28" s="17"/>
      <c r="AK28" s="17">
        <v>1</v>
      </c>
      <c r="AL28" s="17"/>
      <c r="AM28" s="17"/>
      <c r="AN28" s="17"/>
      <c r="AO28" s="17"/>
      <c r="AP28" s="18"/>
    </row>
    <row r="29" spans="2:42" ht="13.5" customHeight="1">
      <c r="B29" s="19">
        <v>24</v>
      </c>
      <c r="C29" s="47" t="s">
        <v>105</v>
      </c>
      <c r="D29" s="21">
        <v>3</v>
      </c>
      <c r="E29" s="46"/>
      <c r="F29" s="17"/>
      <c r="G29" s="17"/>
      <c r="H29" s="17"/>
      <c r="I29" s="17"/>
      <c r="J29" s="17"/>
      <c r="K29" s="22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>
        <v>2</v>
      </c>
      <c r="AF29" s="17"/>
      <c r="AG29" s="17"/>
      <c r="AH29" s="17"/>
      <c r="AI29" s="17"/>
      <c r="AJ29" s="17"/>
      <c r="AK29" s="17">
        <v>1</v>
      </c>
      <c r="AL29" s="17"/>
      <c r="AM29" s="17"/>
      <c r="AN29" s="17"/>
      <c r="AO29" s="17"/>
      <c r="AP29" s="18"/>
    </row>
    <row r="30" spans="2:42" ht="13.5" customHeight="1">
      <c r="B30" s="19">
        <v>25</v>
      </c>
      <c r="C30" s="56" t="s">
        <v>106</v>
      </c>
      <c r="D30" s="21">
        <v>2</v>
      </c>
      <c r="E30" s="46"/>
      <c r="F30" s="17"/>
      <c r="G30" s="17"/>
      <c r="H30" s="17"/>
      <c r="I30" s="17"/>
      <c r="J30" s="17"/>
      <c r="K30" s="22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>
        <v>1</v>
      </c>
      <c r="AM30" s="17"/>
      <c r="AN30" s="17"/>
      <c r="AO30" s="17">
        <v>1</v>
      </c>
      <c r="AP30" s="18"/>
    </row>
    <row r="31" spans="2:42" ht="13.5" customHeight="1">
      <c r="B31" s="19">
        <v>26</v>
      </c>
      <c r="C31" s="56" t="s">
        <v>107</v>
      </c>
      <c r="D31" s="21">
        <v>2</v>
      </c>
      <c r="E31" s="46"/>
      <c r="F31" s="17"/>
      <c r="G31" s="17"/>
      <c r="H31" s="17"/>
      <c r="I31" s="17"/>
      <c r="J31" s="17"/>
      <c r="K31" s="22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>
        <v>1</v>
      </c>
      <c r="AN31" s="17"/>
      <c r="AO31" s="17">
        <v>1</v>
      </c>
      <c r="AP31" s="18"/>
    </row>
    <row r="32" spans="2:42" ht="13.5" customHeight="1">
      <c r="B32" s="19">
        <v>27</v>
      </c>
      <c r="C32" s="56" t="s">
        <v>108</v>
      </c>
      <c r="D32" s="21">
        <v>2</v>
      </c>
      <c r="E32" s="46"/>
      <c r="F32" s="17"/>
      <c r="G32" s="17"/>
      <c r="H32" s="17"/>
      <c r="I32" s="17"/>
      <c r="J32" s="17"/>
      <c r="K32" s="22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>
        <v>1</v>
      </c>
      <c r="AN32" s="17"/>
      <c r="AO32" s="17">
        <v>1</v>
      </c>
      <c r="AP32" s="18"/>
    </row>
    <row r="33" spans="2:42" ht="13.5" customHeight="1">
      <c r="B33" s="19">
        <v>28</v>
      </c>
      <c r="C33" s="56" t="s">
        <v>109</v>
      </c>
      <c r="D33" s="21">
        <v>1</v>
      </c>
      <c r="E33" s="46"/>
      <c r="F33" s="17"/>
      <c r="G33" s="17"/>
      <c r="H33" s="17"/>
      <c r="I33" s="17"/>
      <c r="J33" s="17"/>
      <c r="K33" s="22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>
        <v>1</v>
      </c>
      <c r="AP33" s="18"/>
    </row>
    <row r="34" spans="2:42" ht="13.5" customHeight="1">
      <c r="B34" s="19">
        <v>29</v>
      </c>
      <c r="C34" s="56" t="s">
        <v>110</v>
      </c>
      <c r="D34" s="21">
        <v>4</v>
      </c>
      <c r="E34" s="46"/>
      <c r="F34" s="17"/>
      <c r="G34" s="17"/>
      <c r="H34" s="17"/>
      <c r="I34" s="17"/>
      <c r="J34" s="17"/>
      <c r="K34" s="22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>
        <v>1</v>
      </c>
      <c r="AM34" s="17">
        <v>1</v>
      </c>
      <c r="AN34" s="17"/>
      <c r="AO34" s="17">
        <v>1</v>
      </c>
      <c r="AP34" s="18">
        <v>1</v>
      </c>
    </row>
    <row r="35" spans="2:42" ht="13.5" customHeight="1">
      <c r="B35" s="19">
        <v>30</v>
      </c>
      <c r="C35" s="48"/>
      <c r="D35" s="21"/>
      <c r="E35" s="46"/>
      <c r="F35" s="17"/>
      <c r="G35" s="17"/>
      <c r="H35" s="17"/>
      <c r="I35" s="17"/>
      <c r="J35" s="17"/>
      <c r="K35" s="22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8"/>
    </row>
    <row r="36" spans="2:42" ht="13.5" customHeight="1">
      <c r="B36" s="19">
        <v>31</v>
      </c>
      <c r="C36" s="48"/>
      <c r="D36" s="21"/>
      <c r="E36" s="46"/>
      <c r="F36" s="17"/>
      <c r="G36" s="17"/>
      <c r="H36" s="17"/>
      <c r="I36" s="17"/>
      <c r="J36" s="17"/>
      <c r="K36" s="22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8"/>
    </row>
    <row r="37" spans="2:42" ht="13.5" customHeight="1">
      <c r="B37" s="19">
        <v>32</v>
      </c>
      <c r="C37" s="48"/>
      <c r="D37" s="21"/>
      <c r="E37" s="46"/>
      <c r="F37" s="17"/>
      <c r="G37" s="17"/>
      <c r="H37" s="17"/>
      <c r="I37" s="17"/>
      <c r="J37" s="17"/>
      <c r="K37" s="22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8"/>
    </row>
    <row r="38" spans="2:42" ht="13.5" customHeight="1">
      <c r="B38" s="19">
        <v>33</v>
      </c>
      <c r="C38" s="48"/>
      <c r="D38" s="21"/>
      <c r="E38" s="46"/>
      <c r="F38" s="17"/>
      <c r="G38" s="17"/>
      <c r="H38" s="17"/>
      <c r="I38" s="17"/>
      <c r="J38" s="17"/>
      <c r="K38" s="22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8"/>
    </row>
    <row r="39" spans="2:42" ht="13.5" customHeight="1">
      <c r="B39" s="19">
        <v>34</v>
      </c>
      <c r="C39" s="48"/>
      <c r="D39" s="21"/>
      <c r="E39" s="46"/>
      <c r="F39" s="17"/>
      <c r="G39" s="17"/>
      <c r="H39" s="17"/>
      <c r="I39" s="17"/>
      <c r="J39" s="17"/>
      <c r="K39" s="22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8"/>
    </row>
    <row r="40" spans="2:42" ht="13.5" customHeight="1">
      <c r="B40" s="19">
        <v>35</v>
      </c>
      <c r="C40" s="48"/>
      <c r="D40" s="21"/>
      <c r="E40" s="46"/>
      <c r="F40" s="26"/>
      <c r="G40" s="26"/>
      <c r="H40" s="26"/>
      <c r="I40" s="26"/>
      <c r="J40" s="26"/>
      <c r="K40" s="25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7"/>
    </row>
    <row r="41" spans="2:42" ht="15" customHeight="1">
      <c r="B41" s="105" t="s">
        <v>68</v>
      </c>
      <c r="C41" s="105"/>
      <c r="D41" s="28">
        <v>0</v>
      </c>
      <c r="E41" s="29">
        <f>SUM(E6:E40)</f>
        <v>0</v>
      </c>
      <c r="F41" s="30">
        <f>SUM(F6:F40)</f>
        <v>1</v>
      </c>
      <c r="G41" s="30">
        <f>SUM(G6:G40)</f>
        <v>0</v>
      </c>
      <c r="H41" s="30">
        <f>SUM(H6:H40)</f>
        <v>0</v>
      </c>
      <c r="I41" s="30">
        <f>SUM(I6:I40)</f>
        <v>2</v>
      </c>
      <c r="J41" s="30">
        <f>SUM(J6:J40)</f>
        <v>2</v>
      </c>
      <c r="K41" s="30">
        <f>SUM(K6:K40)</f>
        <v>1</v>
      </c>
      <c r="L41" s="30">
        <f>SUM(L6:L40)</f>
        <v>0</v>
      </c>
      <c r="M41" s="30">
        <f>SUM(M6:M40)</f>
        <v>0</v>
      </c>
      <c r="N41" s="30">
        <f>SUM(N6:N40)</f>
        <v>1</v>
      </c>
      <c r="O41" s="30">
        <f>SUM(O6:O40)</f>
        <v>3</v>
      </c>
      <c r="P41" s="30">
        <f>SUM(P6:P40)</f>
        <v>7</v>
      </c>
      <c r="Q41" s="30">
        <f>SUM(Q6:Q40)</f>
        <v>7</v>
      </c>
      <c r="R41" s="30">
        <f>SUM(R6:R40)</f>
        <v>7</v>
      </c>
      <c r="S41" s="30">
        <f>SUM(S6:S40)</f>
        <v>3</v>
      </c>
      <c r="T41" s="30">
        <f>SUM(T6:T40)</f>
        <v>2</v>
      </c>
      <c r="U41" s="30">
        <f>SUM(U6:U40)</f>
        <v>5</v>
      </c>
      <c r="V41" s="30">
        <f>SUM(V6:V40)</f>
        <v>4</v>
      </c>
      <c r="W41" s="30">
        <f>SUM(W6:W40)</f>
        <v>3</v>
      </c>
      <c r="X41" s="30">
        <f>SUM(X6:X40)</f>
        <v>1</v>
      </c>
      <c r="Y41" s="30">
        <f>SUM(Y6:Y40)</f>
        <v>2</v>
      </c>
      <c r="Z41" s="30">
        <f>SUM(Z6:Z40)</f>
        <v>3</v>
      </c>
      <c r="AA41" s="30">
        <f>SUM(AA6:AA40)</f>
        <v>3</v>
      </c>
      <c r="AB41" s="30">
        <f>SUM(AB6:AB40)</f>
        <v>1</v>
      </c>
      <c r="AC41" s="30">
        <f>SUM(AC6:AC40)</f>
        <v>2</v>
      </c>
      <c r="AD41" s="30">
        <f>SUM(AD6:AD40)</f>
        <v>1</v>
      </c>
      <c r="AE41" s="30">
        <f>SUM(AE6:AE40)</f>
        <v>4</v>
      </c>
      <c r="AF41" s="30">
        <f>SUM(AF6:AF40)</f>
        <v>6</v>
      </c>
      <c r="AG41" s="30">
        <f>SUM(AG6:AG40)</f>
        <v>2</v>
      </c>
      <c r="AH41" s="30">
        <f>SUM(AH6:AH40)</f>
        <v>3</v>
      </c>
      <c r="AI41" s="30">
        <f>SUM(AI6:AI40)</f>
        <v>4</v>
      </c>
      <c r="AJ41" s="30">
        <f>SUM(AJ6:AJ40)</f>
        <v>4</v>
      </c>
      <c r="AK41" s="30">
        <f>SUM(AK6:AK40)</f>
        <v>5</v>
      </c>
      <c r="AL41" s="30">
        <f>SUM(AL6:AL40)</f>
        <v>8</v>
      </c>
      <c r="AM41" s="30">
        <f>SUM(AM6:AM40)</f>
        <v>5</v>
      </c>
      <c r="AN41" s="30">
        <f>SUM(AN6:AN40)</f>
        <v>2</v>
      </c>
      <c r="AO41" s="30">
        <f>SUM(AO6:AO40)</f>
        <v>5</v>
      </c>
      <c r="AP41" s="31">
        <f>SUM(AP6:AP40)</f>
        <v>1</v>
      </c>
    </row>
    <row r="42" spans="2:42" ht="13.5" customHeight="1">
      <c r="B42" s="106" t="s">
        <v>69</v>
      </c>
      <c r="C42" s="106"/>
      <c r="D42" s="32">
        <f>SUM(D6:D41)</f>
        <v>110</v>
      </c>
      <c r="E42" s="33">
        <f>D42-SUM(E6:E40)</f>
        <v>110</v>
      </c>
      <c r="F42" s="34">
        <f>E42-SUM(F6:F40)</f>
        <v>109</v>
      </c>
      <c r="G42" s="34">
        <f>F42-SUM(G6:G40)</f>
        <v>109</v>
      </c>
      <c r="H42" s="34">
        <f>G42-SUM(H6:H40)</f>
        <v>109</v>
      </c>
      <c r="I42" s="34">
        <f>H42-SUM(I6:I40)</f>
        <v>107</v>
      </c>
      <c r="J42" s="34">
        <f>I42-SUM(J6:J40)</f>
        <v>105</v>
      </c>
      <c r="K42" s="34">
        <f>J42-SUM(K6:K40)</f>
        <v>104</v>
      </c>
      <c r="L42" s="34">
        <f>K42-SUM(L6:L40)</f>
        <v>104</v>
      </c>
      <c r="M42" s="34">
        <f>L42-SUM(M6:M40)</f>
        <v>104</v>
      </c>
      <c r="N42" s="34">
        <f>M42-SUM(N6:N40)</f>
        <v>103</v>
      </c>
      <c r="O42" s="34">
        <f>N42-SUM(O6:O40)</f>
        <v>100</v>
      </c>
      <c r="P42" s="34">
        <f>O42-SUM(P6:P40)</f>
        <v>93</v>
      </c>
      <c r="Q42" s="34">
        <f>P42-SUM(Q6:Q40)</f>
        <v>86</v>
      </c>
      <c r="R42" s="34">
        <f>Q42-SUM(R6:R40)</f>
        <v>79</v>
      </c>
      <c r="S42" s="34">
        <f>R42-SUM(S6:S40)</f>
        <v>76</v>
      </c>
      <c r="T42" s="34">
        <f>S42-SUM(T6:T40)</f>
        <v>74</v>
      </c>
      <c r="U42" s="34">
        <f>T42-SUM(U6:U40)</f>
        <v>69</v>
      </c>
      <c r="V42" s="34">
        <f>U42-SUM(V6:V40)</f>
        <v>65</v>
      </c>
      <c r="W42" s="34">
        <f>V42-SUM(W6:W40)</f>
        <v>62</v>
      </c>
      <c r="X42" s="34">
        <f>W42-SUM(X6:X40)</f>
        <v>61</v>
      </c>
      <c r="Y42" s="34">
        <f>X42-SUM(Y6:Y40)</f>
        <v>59</v>
      </c>
      <c r="Z42" s="34">
        <f>Y42-SUM(Z6:Z40)</f>
        <v>56</v>
      </c>
      <c r="AA42" s="34">
        <f>Z42-SUM(AA6:AA40)</f>
        <v>53</v>
      </c>
      <c r="AB42" s="34">
        <f>AA42-SUM(AB6:AB40)</f>
        <v>52</v>
      </c>
      <c r="AC42" s="34">
        <f>AB42-SUM(AC6:AC40)</f>
        <v>50</v>
      </c>
      <c r="AD42" s="34">
        <f>AC42-SUM(AD6:AD40)</f>
        <v>49</v>
      </c>
      <c r="AE42" s="34">
        <f>AD42-SUM(AE6:AE40)</f>
        <v>45</v>
      </c>
      <c r="AF42" s="34">
        <f>AE42-SUM(AF6:AF40)</f>
        <v>39</v>
      </c>
      <c r="AG42" s="34">
        <f>AF42-SUM(AG6:AG40)</f>
        <v>37</v>
      </c>
      <c r="AH42" s="34">
        <f>AG42-SUM(AH6:AH40)</f>
        <v>34</v>
      </c>
      <c r="AI42" s="34">
        <f>AH42-SUM(AI6:AI40)</f>
        <v>30</v>
      </c>
      <c r="AJ42" s="34">
        <f>AI42-SUM(AJ6:AJ40)</f>
        <v>26</v>
      </c>
      <c r="AK42" s="34">
        <f>AJ42-SUM(AK6:AK40)</f>
        <v>21</v>
      </c>
      <c r="AL42" s="34">
        <f>AK42-SUM(AL6:AL40)</f>
        <v>13</v>
      </c>
      <c r="AM42" s="34">
        <f>AL42-SUM(AM6:AM40)</f>
        <v>8</v>
      </c>
      <c r="AN42" s="34">
        <f>AM42-SUM(AN6:AN40)</f>
        <v>6</v>
      </c>
      <c r="AO42" s="34">
        <f>AN42-SUM(AO6:AO40)</f>
        <v>1</v>
      </c>
      <c r="AP42" s="35">
        <f>AO42-SUM(AP6:AP40)</f>
        <v>0</v>
      </c>
    </row>
    <row r="43" spans="2:42" ht="13.5" customHeight="1">
      <c r="B43" s="107" t="s">
        <v>70</v>
      </c>
      <c r="C43" s="107"/>
      <c r="D43" s="36">
        <f>D42</f>
        <v>110</v>
      </c>
      <c r="E43" s="37">
        <f>$D$43-($D$43/38*1)</f>
        <v>107.10526315789474</v>
      </c>
      <c r="F43" s="38">
        <f>$D$43-($D$43/38*2)</f>
        <v>104.21052631578948</v>
      </c>
      <c r="G43" s="38">
        <f>$D$43-($D$43/38*3)</f>
        <v>101.31578947368421</v>
      </c>
      <c r="H43" s="38">
        <f>$D$43-($D$43/38*4)</f>
        <v>98.421052631578945</v>
      </c>
      <c r="I43" s="38">
        <f>$D$43-($D$43/38*5)</f>
        <v>95.526315789473685</v>
      </c>
      <c r="J43" s="38">
        <f>$D$43-($D$43/38*6)</f>
        <v>92.631578947368425</v>
      </c>
      <c r="K43" s="38">
        <f>$D$43-($D$43/38*7)</f>
        <v>89.73684210526315</v>
      </c>
      <c r="L43" s="38">
        <f>$D$43-($D$43/38*8)</f>
        <v>86.84210526315789</v>
      </c>
      <c r="M43" s="38">
        <f>$D$43-($D$43/38*9)</f>
        <v>83.94736842105263</v>
      </c>
      <c r="N43" s="38">
        <f>$D$43-($D$43/38*10)</f>
        <v>81.05263157894737</v>
      </c>
      <c r="O43" s="38">
        <f>$D$43-($D$43/38*11)</f>
        <v>78.15789473684211</v>
      </c>
      <c r="P43" s="38">
        <f>$D$43-($D$43/38*12)</f>
        <v>75.26315789473685</v>
      </c>
      <c r="Q43" s="38">
        <f>$D$43-($D$43/38*13)</f>
        <v>72.368421052631575</v>
      </c>
      <c r="R43" s="38">
        <f>$D$43-($D$43/38*14)</f>
        <v>69.473684210526315</v>
      </c>
      <c r="S43" s="38">
        <f>$D$43-($D$43/38*15)</f>
        <v>66.578947368421041</v>
      </c>
      <c r="T43" s="38">
        <f>$D$43-($D$43/38*16)</f>
        <v>63.684210526315788</v>
      </c>
      <c r="U43" s="38">
        <f>$D$43-($D$43/38*17)</f>
        <v>60.789473684210527</v>
      </c>
      <c r="V43" s="38">
        <f>$D$43-($D$43/38*18)</f>
        <v>57.89473684210526</v>
      </c>
      <c r="W43" s="38">
        <f>$D$43-($D$43/38*19)</f>
        <v>55</v>
      </c>
      <c r="X43" s="38">
        <f>$D$43-($D$43/38*20)</f>
        <v>52.105263157894733</v>
      </c>
      <c r="Y43" s="38">
        <f>$D$43-($D$43/38*21)</f>
        <v>49.210526315789473</v>
      </c>
      <c r="Z43" s="38">
        <f>$D$43-($D$43/38*22)</f>
        <v>46.315789473684205</v>
      </c>
      <c r="AA43" s="38">
        <f>$D$43-($D$43/38*23)</f>
        <v>43.421052631578945</v>
      </c>
      <c r="AB43" s="38">
        <f>$D$43-($D$43/38*24)</f>
        <v>40.526315789473685</v>
      </c>
      <c r="AC43" s="38">
        <f>$D$43-($D$43/38*25)</f>
        <v>37.631578947368425</v>
      </c>
      <c r="AD43" s="38">
        <f>$D$43-($D$43/38*26)</f>
        <v>34.73684210526315</v>
      </c>
      <c r="AE43" s="38">
        <f>$D$43-($D$43/38*27)</f>
        <v>31.84210526315789</v>
      </c>
      <c r="AF43" s="38">
        <f>$D$43-($D$43/38*28)</f>
        <v>28.94736842105263</v>
      </c>
      <c r="AG43" s="38">
        <f>$D$43-($D$43/38*29)</f>
        <v>26.05263157894737</v>
      </c>
      <c r="AH43" s="38">
        <f>$D$43-($D$43/38*30)</f>
        <v>23.157894736842096</v>
      </c>
      <c r="AI43" s="38">
        <f>$D$43-($D$43/38*31)</f>
        <v>20.263157894736835</v>
      </c>
      <c r="AJ43" s="39">
        <f>$D$43-($D$43/38*32)</f>
        <v>17.368421052631575</v>
      </c>
      <c r="AK43" s="38">
        <f>$D$43-($D$43/38*33)</f>
        <v>14.473684210526315</v>
      </c>
      <c r="AL43" s="38">
        <f>$D$43-($D$43/38*34)</f>
        <v>11.578947368421055</v>
      </c>
      <c r="AM43" s="38">
        <f>$D$43-($D$43/38*35)</f>
        <v>8.6842105263157805</v>
      </c>
      <c r="AN43" s="38">
        <f>$D$43-($D$43/38*36)</f>
        <v>5.7894736842105203</v>
      </c>
      <c r="AO43" s="38">
        <f>$D$43-($D$43/38*37)</f>
        <v>2.8947368421052602</v>
      </c>
      <c r="AP43" s="39">
        <f>$D$43-($D$43/38*38)</f>
        <v>0</v>
      </c>
    </row>
    <row r="44" spans="2:42" ht="13.5" customHeight="1">
      <c r="Q44" s="40" t="s">
        <v>71</v>
      </c>
    </row>
    <row r="45" spans="2:42" ht="13.5" customHeight="1"/>
    <row r="46" spans="2:42" ht="13.5" customHeight="1"/>
    <row r="47" spans="2:42" ht="13.5" customHeight="1"/>
    <row r="48" spans="2:42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8">
    <mergeCell ref="B41:C41"/>
    <mergeCell ref="B42:C42"/>
    <mergeCell ref="B43:C43"/>
    <mergeCell ref="B2:AP2"/>
    <mergeCell ref="B3:K3"/>
    <mergeCell ref="B4:B5"/>
    <mergeCell ref="C4:C5"/>
    <mergeCell ref="D4:D5"/>
  </mergeCells>
  <pageMargins left="0.7" right="0.7" top="0.75" bottom="0.75" header="0.511811023622047" footer="0.511811023622047"/>
  <pageSetup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O1001"/>
  <sheetViews>
    <sheetView topLeftCell="A27" zoomScale="80" zoomScaleNormal="80" workbookViewId="0">
      <selection activeCell="F34" sqref="F34"/>
    </sheetView>
  </sheetViews>
  <sheetFormatPr defaultColWidth="14.42578125" defaultRowHeight="15"/>
  <cols>
    <col min="1" max="2" width="10.5703125" customWidth="1"/>
    <col min="3" max="3" width="42.140625" customWidth="1"/>
    <col min="4" max="4" width="21" customWidth="1"/>
    <col min="5" max="5" width="20.42578125" customWidth="1"/>
    <col min="6" max="6" width="46.28515625" customWidth="1"/>
    <col min="7" max="11" width="10.5703125" customWidth="1"/>
    <col min="12" max="12" width="25.42578125" customWidth="1"/>
    <col min="13" max="13" width="9" customWidth="1"/>
    <col min="14" max="14" width="61.85546875" customWidth="1"/>
    <col min="15" max="26" width="10.5703125" customWidth="1"/>
  </cols>
  <sheetData>
    <row r="1" spans="2:12">
      <c r="B1" s="49"/>
    </row>
    <row r="2" spans="2:12" ht="22.15">
      <c r="B2" s="116" t="s">
        <v>111</v>
      </c>
      <c r="C2" s="116"/>
      <c r="D2" s="116"/>
      <c r="E2" s="116"/>
      <c r="F2" s="116"/>
      <c r="G2" s="116"/>
      <c r="H2" s="116"/>
      <c r="L2" s="7" t="s">
        <v>112</v>
      </c>
    </row>
    <row r="3" spans="2:12">
      <c r="B3" s="117" t="s">
        <v>113</v>
      </c>
      <c r="C3" s="118" t="s">
        <v>114</v>
      </c>
      <c r="D3" s="118" t="s">
        <v>115</v>
      </c>
      <c r="E3" s="118" t="s">
        <v>116</v>
      </c>
      <c r="F3" s="118" t="s">
        <v>117</v>
      </c>
      <c r="G3" s="118" t="s">
        <v>118</v>
      </c>
      <c r="H3" s="119" t="s">
        <v>119</v>
      </c>
    </row>
    <row r="4" spans="2:12">
      <c r="B4" s="117"/>
      <c r="C4" s="118"/>
      <c r="D4" s="118"/>
      <c r="E4" s="118"/>
      <c r="F4" s="118"/>
      <c r="G4" s="118"/>
      <c r="H4" s="119"/>
      <c r="L4" s="7" t="s">
        <v>120</v>
      </c>
    </row>
    <row r="5" spans="2:12">
      <c r="B5" s="50">
        <v>1</v>
      </c>
      <c r="C5" s="51" t="s">
        <v>34</v>
      </c>
      <c r="D5" s="52" t="s">
        <v>121</v>
      </c>
      <c r="E5" s="52">
        <v>3</v>
      </c>
      <c r="F5" s="52" t="s">
        <v>122</v>
      </c>
      <c r="G5" s="53">
        <v>45930</v>
      </c>
      <c r="H5" s="54">
        <f>G5+E5-1</f>
        <v>45932</v>
      </c>
    </row>
    <row r="6" spans="2:12">
      <c r="B6" s="55">
        <v>2</v>
      </c>
      <c r="C6" s="56" t="s">
        <v>35</v>
      </c>
      <c r="D6" s="57" t="s">
        <v>121</v>
      </c>
      <c r="E6" s="57">
        <v>3</v>
      </c>
      <c r="F6" s="57" t="s">
        <v>123</v>
      </c>
      <c r="G6" s="58">
        <v>45931</v>
      </c>
      <c r="H6" s="54">
        <f>G6+E6-1</f>
        <v>45933</v>
      </c>
      <c r="L6" s="7" t="s">
        <v>124</v>
      </c>
    </row>
    <row r="7" spans="2:12">
      <c r="B7" s="55">
        <v>3</v>
      </c>
      <c r="C7" s="56" t="s">
        <v>37</v>
      </c>
      <c r="D7" s="57" t="s">
        <v>121</v>
      </c>
      <c r="E7" s="57">
        <v>3</v>
      </c>
      <c r="F7" s="57" t="s">
        <v>125</v>
      </c>
      <c r="G7" s="58">
        <v>45930</v>
      </c>
      <c r="H7" s="54">
        <f>G7+E7-1</f>
        <v>45932</v>
      </c>
    </row>
    <row r="8" spans="2:12">
      <c r="B8" s="55">
        <v>4</v>
      </c>
      <c r="C8" s="56" t="s">
        <v>38</v>
      </c>
      <c r="D8" s="57" t="s">
        <v>121</v>
      </c>
      <c r="E8" s="57">
        <v>3</v>
      </c>
      <c r="F8" s="57" t="s">
        <v>126</v>
      </c>
      <c r="G8" s="58">
        <v>45931</v>
      </c>
      <c r="H8" s="54">
        <f>G8+E8-1</f>
        <v>45933</v>
      </c>
    </row>
    <row r="9" spans="2:12">
      <c r="B9" s="55">
        <v>5</v>
      </c>
      <c r="C9" s="56" t="s">
        <v>39</v>
      </c>
      <c r="D9" s="57" t="s">
        <v>121</v>
      </c>
      <c r="E9" s="57">
        <v>3</v>
      </c>
      <c r="F9" s="57" t="s">
        <v>127</v>
      </c>
      <c r="G9" s="58">
        <v>45932</v>
      </c>
      <c r="H9" s="54">
        <f>G9+E9-1</f>
        <v>45934</v>
      </c>
    </row>
    <row r="10" spans="2:12">
      <c r="B10" s="55">
        <v>6</v>
      </c>
      <c r="C10" s="56" t="s">
        <v>40</v>
      </c>
      <c r="D10" s="57" t="s">
        <v>128</v>
      </c>
      <c r="E10" s="57">
        <v>6</v>
      </c>
      <c r="F10" s="57" t="s">
        <v>129</v>
      </c>
      <c r="G10" s="58">
        <v>45935</v>
      </c>
      <c r="H10" s="54">
        <f>G10+E10-1</f>
        <v>45940</v>
      </c>
    </row>
    <row r="11" spans="2:12">
      <c r="B11" s="55">
        <v>7</v>
      </c>
      <c r="C11" s="56" t="s">
        <v>41</v>
      </c>
      <c r="D11" s="57" t="s">
        <v>130</v>
      </c>
      <c r="E11" s="57">
        <v>3</v>
      </c>
      <c r="F11" s="57" t="s">
        <v>129</v>
      </c>
      <c r="G11" s="58">
        <v>45946</v>
      </c>
      <c r="H11" s="54">
        <f>G11+E11-1</f>
        <v>45948</v>
      </c>
    </row>
    <row r="12" spans="2:12" ht="14.85" customHeight="1">
      <c r="B12" s="55">
        <v>8</v>
      </c>
      <c r="C12" s="56" t="s">
        <v>131</v>
      </c>
      <c r="D12" s="57" t="s">
        <v>128</v>
      </c>
      <c r="E12" s="57">
        <v>6</v>
      </c>
      <c r="F12" s="59" t="s">
        <v>132</v>
      </c>
      <c r="G12" s="58">
        <v>45935</v>
      </c>
      <c r="H12" s="54">
        <f>G12+E12-1</f>
        <v>45940</v>
      </c>
    </row>
    <row r="13" spans="2:12" ht="17.100000000000001" customHeight="1">
      <c r="B13" s="55">
        <v>9</v>
      </c>
      <c r="C13" s="56" t="s">
        <v>43</v>
      </c>
      <c r="D13" s="57" t="s">
        <v>133</v>
      </c>
      <c r="E13" s="57">
        <v>3</v>
      </c>
      <c r="F13" s="60" t="s">
        <v>132</v>
      </c>
      <c r="G13" s="58">
        <v>45945</v>
      </c>
      <c r="H13" s="54">
        <f>G13+E13-1</f>
        <v>45947</v>
      </c>
    </row>
    <row r="14" spans="2:12">
      <c r="B14" s="55">
        <v>10</v>
      </c>
      <c r="C14" s="56" t="s">
        <v>44</v>
      </c>
      <c r="D14" s="57" t="s">
        <v>121</v>
      </c>
      <c r="E14" s="57">
        <v>1</v>
      </c>
      <c r="F14" s="57" t="s">
        <v>123</v>
      </c>
      <c r="G14" s="58">
        <v>45937</v>
      </c>
      <c r="H14" s="54">
        <f>G14+E14-1</f>
        <v>45937</v>
      </c>
    </row>
    <row r="15" spans="2:12">
      <c r="B15" s="55">
        <v>11</v>
      </c>
      <c r="C15" s="56" t="s">
        <v>45</v>
      </c>
      <c r="D15" s="57" t="s">
        <v>121</v>
      </c>
      <c r="E15" s="57">
        <v>1</v>
      </c>
      <c r="F15" s="57" t="s">
        <v>123</v>
      </c>
      <c r="G15" s="58">
        <v>45936</v>
      </c>
      <c r="H15" s="54">
        <f>G15+E15-1</f>
        <v>45936</v>
      </c>
    </row>
    <row r="16" spans="2:12">
      <c r="B16" s="55">
        <v>12</v>
      </c>
      <c r="C16" s="56" t="s">
        <v>46</v>
      </c>
      <c r="D16" s="57" t="s">
        <v>121</v>
      </c>
      <c r="E16" s="57">
        <v>1</v>
      </c>
      <c r="F16" s="57" t="s">
        <v>126</v>
      </c>
      <c r="G16" s="58">
        <v>45937</v>
      </c>
      <c r="H16" s="54">
        <f>G16+E16-1</f>
        <v>45937</v>
      </c>
    </row>
    <row r="17" spans="2:12">
      <c r="B17" s="55">
        <v>13</v>
      </c>
      <c r="C17" s="56" t="s">
        <v>47</v>
      </c>
      <c r="D17" s="57" t="s">
        <v>121</v>
      </c>
      <c r="E17" s="57">
        <v>1</v>
      </c>
      <c r="F17" s="57" t="s">
        <v>126</v>
      </c>
      <c r="G17" s="58">
        <v>45935</v>
      </c>
      <c r="H17" s="54">
        <f>G17+E17-1</f>
        <v>45935</v>
      </c>
    </row>
    <row r="18" spans="2:12">
      <c r="B18" s="55">
        <v>14</v>
      </c>
      <c r="C18" s="56" t="s">
        <v>48</v>
      </c>
      <c r="D18" s="57" t="s">
        <v>121</v>
      </c>
      <c r="E18" s="57">
        <v>1</v>
      </c>
      <c r="F18" s="57" t="s">
        <v>127</v>
      </c>
      <c r="G18" s="58">
        <v>45936</v>
      </c>
      <c r="H18" s="54">
        <f>G18+E18-1</f>
        <v>45936</v>
      </c>
    </row>
    <row r="19" spans="2:12">
      <c r="B19" s="55">
        <v>15</v>
      </c>
      <c r="C19" s="56" t="s">
        <v>49</v>
      </c>
      <c r="D19" s="57" t="s">
        <v>121</v>
      </c>
      <c r="E19" s="57">
        <v>1</v>
      </c>
      <c r="F19" s="57" t="s">
        <v>127</v>
      </c>
      <c r="G19" s="58">
        <v>45937</v>
      </c>
      <c r="H19" s="54">
        <f>G19+E19-1</f>
        <v>45937</v>
      </c>
    </row>
    <row r="20" spans="2:12">
      <c r="B20" s="55">
        <v>16</v>
      </c>
      <c r="C20" s="56" t="s">
        <v>50</v>
      </c>
      <c r="D20" s="57" t="s">
        <v>121</v>
      </c>
      <c r="E20" s="57">
        <v>1</v>
      </c>
      <c r="F20" s="57" t="s">
        <v>122</v>
      </c>
      <c r="G20" s="58">
        <v>45935</v>
      </c>
      <c r="H20" s="54">
        <f>G20+E20-1</f>
        <v>45935</v>
      </c>
    </row>
    <row r="21" spans="2:12" ht="15.75" customHeight="1">
      <c r="B21" s="55">
        <v>17</v>
      </c>
      <c r="C21" s="56" t="s">
        <v>51</v>
      </c>
      <c r="D21" s="57" t="s">
        <v>121</v>
      </c>
      <c r="E21" s="57">
        <v>1</v>
      </c>
      <c r="F21" s="57" t="s">
        <v>122</v>
      </c>
      <c r="G21" s="58">
        <v>45936</v>
      </c>
      <c r="H21" s="54">
        <f>G21+E21-1</f>
        <v>45936</v>
      </c>
      <c r="L21" s="7"/>
    </row>
    <row r="22" spans="2:12" ht="15.75" customHeight="1">
      <c r="B22" s="61">
        <v>18</v>
      </c>
      <c r="C22" s="62" t="s">
        <v>52</v>
      </c>
      <c r="D22" s="63" t="s">
        <v>121</v>
      </c>
      <c r="E22" s="63">
        <v>1</v>
      </c>
      <c r="F22" s="63" t="s">
        <v>125</v>
      </c>
      <c r="G22" s="64">
        <v>45936</v>
      </c>
      <c r="H22" s="54">
        <f>G22+E22-1</f>
        <v>45936</v>
      </c>
      <c r="L22" s="7"/>
    </row>
    <row r="23" spans="2:12" ht="15.75" customHeight="1">
      <c r="B23" s="55">
        <v>19</v>
      </c>
      <c r="C23" s="56" t="s">
        <v>53</v>
      </c>
      <c r="D23" s="57" t="s">
        <v>121</v>
      </c>
      <c r="E23" s="57">
        <v>1</v>
      </c>
      <c r="F23" s="57" t="s">
        <v>125</v>
      </c>
      <c r="G23" s="58">
        <v>45935</v>
      </c>
      <c r="H23" s="54">
        <f>G23+E23-1</f>
        <v>45935</v>
      </c>
    </row>
    <row r="24" spans="2:12" ht="15.75" customHeight="1">
      <c r="B24" s="61">
        <v>20</v>
      </c>
      <c r="C24" s="56" t="s">
        <v>134</v>
      </c>
      <c r="D24" s="57" t="s">
        <v>135</v>
      </c>
      <c r="E24" s="57">
        <v>3</v>
      </c>
      <c r="F24" s="57" t="s">
        <v>123</v>
      </c>
      <c r="G24" s="58">
        <v>45943</v>
      </c>
      <c r="H24" s="54">
        <f>G24+E24-1</f>
        <v>45945</v>
      </c>
    </row>
    <row r="25" spans="2:12" ht="15.75" customHeight="1">
      <c r="B25" s="55">
        <v>21</v>
      </c>
      <c r="C25" s="56" t="s">
        <v>136</v>
      </c>
      <c r="D25" s="57" t="s">
        <v>137</v>
      </c>
      <c r="E25" s="57">
        <v>3</v>
      </c>
      <c r="F25" s="57" t="s">
        <v>122</v>
      </c>
      <c r="G25" s="58">
        <v>45947</v>
      </c>
      <c r="H25" s="54">
        <v>45949</v>
      </c>
    </row>
    <row r="26" spans="2:12" ht="15.75" customHeight="1">
      <c r="B26" s="61">
        <v>22</v>
      </c>
      <c r="C26" s="56" t="s">
        <v>138</v>
      </c>
      <c r="D26" s="57" t="s">
        <v>139</v>
      </c>
      <c r="E26" s="57">
        <v>3</v>
      </c>
      <c r="F26" s="57" t="s">
        <v>125</v>
      </c>
      <c r="G26" s="58">
        <v>45944</v>
      </c>
      <c r="H26" s="54">
        <f>G26+E26-1</f>
        <v>45946</v>
      </c>
    </row>
    <row r="27" spans="2:12" ht="15.75" customHeight="1">
      <c r="B27" s="55">
        <v>23</v>
      </c>
      <c r="C27" s="56" t="s">
        <v>140</v>
      </c>
      <c r="D27" s="57" t="s">
        <v>141</v>
      </c>
      <c r="E27" s="57">
        <v>3</v>
      </c>
      <c r="F27" s="57" t="s">
        <v>126</v>
      </c>
      <c r="G27" s="58">
        <v>45947</v>
      </c>
      <c r="H27" s="54">
        <f>G27+E27-1</f>
        <v>45949</v>
      </c>
    </row>
    <row r="28" spans="2:12" ht="15.75" customHeight="1">
      <c r="B28" s="55">
        <v>24</v>
      </c>
      <c r="C28" s="56" t="s">
        <v>58</v>
      </c>
      <c r="D28" s="57" t="s">
        <v>142</v>
      </c>
      <c r="E28" s="57">
        <v>3</v>
      </c>
      <c r="F28" s="57" t="s">
        <v>127</v>
      </c>
      <c r="G28" s="58">
        <v>45946</v>
      </c>
      <c r="H28" s="54">
        <f>G28+E28-1</f>
        <v>45948</v>
      </c>
    </row>
    <row r="29" spans="2:12" ht="15.75" customHeight="1">
      <c r="B29" s="55">
        <v>25</v>
      </c>
      <c r="C29" s="56" t="s">
        <v>59</v>
      </c>
      <c r="D29" s="57" t="s">
        <v>121</v>
      </c>
      <c r="E29" s="57">
        <v>1</v>
      </c>
      <c r="F29" s="57" t="s">
        <v>143</v>
      </c>
      <c r="G29" s="58">
        <v>45948</v>
      </c>
      <c r="H29" s="54">
        <f>G29+E29-1</f>
        <v>45948</v>
      </c>
    </row>
    <row r="30" spans="2:12" ht="15.75" customHeight="1">
      <c r="B30" s="55">
        <v>26</v>
      </c>
      <c r="C30" s="56" t="s">
        <v>144</v>
      </c>
      <c r="D30" s="60" t="s">
        <v>145</v>
      </c>
      <c r="E30" s="57">
        <v>3</v>
      </c>
      <c r="F30" s="57" t="s">
        <v>129</v>
      </c>
      <c r="G30" s="58">
        <v>45950</v>
      </c>
      <c r="H30" s="54">
        <f>G30+E30-1</f>
        <v>45952</v>
      </c>
    </row>
    <row r="31" spans="2:12" ht="15.75" customHeight="1">
      <c r="B31" s="55">
        <v>27</v>
      </c>
      <c r="C31" s="56" t="s">
        <v>146</v>
      </c>
      <c r="D31" s="57" t="s">
        <v>147</v>
      </c>
      <c r="E31" s="57">
        <v>3</v>
      </c>
      <c r="F31" s="57" t="s">
        <v>129</v>
      </c>
      <c r="G31" s="58">
        <v>45952</v>
      </c>
      <c r="H31" s="54">
        <f>G31+E31-1</f>
        <v>45954</v>
      </c>
    </row>
    <row r="32" spans="2:12" ht="15.75" customHeight="1">
      <c r="B32" s="55">
        <v>28</v>
      </c>
      <c r="C32" s="56" t="s">
        <v>148</v>
      </c>
      <c r="D32" s="57" t="s">
        <v>149</v>
      </c>
      <c r="E32" s="57">
        <v>4</v>
      </c>
      <c r="F32" s="57" t="s">
        <v>129</v>
      </c>
      <c r="G32" s="58">
        <v>45953</v>
      </c>
      <c r="H32" s="54">
        <f>G32+E32-1</f>
        <v>45956</v>
      </c>
    </row>
    <row r="33" spans="2:15" ht="15.75" customHeight="1">
      <c r="B33" s="55">
        <v>29</v>
      </c>
      <c r="C33" s="56" t="s">
        <v>150</v>
      </c>
      <c r="D33" s="57" t="s">
        <v>151</v>
      </c>
      <c r="E33" s="57">
        <v>3</v>
      </c>
      <c r="F33" s="59" t="s">
        <v>132</v>
      </c>
      <c r="G33" s="58">
        <v>45952</v>
      </c>
      <c r="H33" s="54">
        <f>G33+E33-1</f>
        <v>45954</v>
      </c>
    </row>
    <row r="34" spans="2:15" ht="15.75" customHeight="1">
      <c r="B34" s="55">
        <v>30</v>
      </c>
      <c r="C34" s="56" t="s">
        <v>152</v>
      </c>
      <c r="D34" s="57" t="s">
        <v>147</v>
      </c>
      <c r="E34" s="57">
        <v>3</v>
      </c>
      <c r="F34" s="59" t="s">
        <v>132</v>
      </c>
      <c r="G34" s="58">
        <v>45950</v>
      </c>
      <c r="H34" s="54">
        <f>G34+E34-1</f>
        <v>45952</v>
      </c>
    </row>
    <row r="35" spans="2:15" ht="15.75" customHeight="1">
      <c r="B35" s="55">
        <v>31</v>
      </c>
      <c r="C35" s="56" t="s">
        <v>153</v>
      </c>
      <c r="D35" s="57" t="s">
        <v>149</v>
      </c>
      <c r="E35" s="57">
        <v>4</v>
      </c>
      <c r="F35" s="59" t="s">
        <v>132</v>
      </c>
      <c r="G35" s="58">
        <v>45953</v>
      </c>
      <c r="H35" s="54">
        <f>G35+E35-1</f>
        <v>45956</v>
      </c>
    </row>
    <row r="36" spans="2:15" ht="15.75" customHeight="1">
      <c r="B36" s="55">
        <v>32</v>
      </c>
      <c r="C36" s="56" t="s">
        <v>154</v>
      </c>
      <c r="D36" s="57" t="s">
        <v>147</v>
      </c>
      <c r="E36" s="57">
        <v>1</v>
      </c>
      <c r="F36" s="57" t="s">
        <v>123</v>
      </c>
      <c r="G36" s="58">
        <v>45949</v>
      </c>
      <c r="H36" s="54">
        <f>G36+E36-1</f>
        <v>45949</v>
      </c>
    </row>
    <row r="37" spans="2:15" ht="15.75" customHeight="1">
      <c r="B37" s="61">
        <v>33</v>
      </c>
      <c r="C37" s="62" t="s">
        <v>155</v>
      </c>
      <c r="D37" s="63" t="s">
        <v>147</v>
      </c>
      <c r="E37" s="63">
        <v>1</v>
      </c>
      <c r="F37" s="63" t="s">
        <v>143</v>
      </c>
      <c r="G37" s="64">
        <v>45956</v>
      </c>
      <c r="H37" s="54">
        <f>G37+E37-1</f>
        <v>45956</v>
      </c>
      <c r="M37" s="7"/>
      <c r="N37" s="7"/>
      <c r="O37" s="7"/>
    </row>
    <row r="38" spans="2:15" ht="15.75" customHeight="1">
      <c r="B38" s="61">
        <v>34</v>
      </c>
      <c r="C38" s="56" t="s">
        <v>83</v>
      </c>
      <c r="D38" s="57" t="s">
        <v>121</v>
      </c>
      <c r="E38" s="65">
        <v>2</v>
      </c>
      <c r="F38" s="57" t="s">
        <v>143</v>
      </c>
      <c r="G38" s="64">
        <v>45969</v>
      </c>
      <c r="H38" s="54">
        <f>G38+E38-1</f>
        <v>45970</v>
      </c>
      <c r="L38" s="7"/>
    </row>
    <row r="39" spans="2:15" ht="15.75" customHeight="1">
      <c r="B39" s="61">
        <v>35</v>
      </c>
      <c r="C39" s="56" t="s">
        <v>82</v>
      </c>
      <c r="D39" s="57" t="s">
        <v>121</v>
      </c>
      <c r="E39" s="65">
        <v>5</v>
      </c>
      <c r="F39" s="57" t="s">
        <v>143</v>
      </c>
      <c r="G39" s="64">
        <v>45966</v>
      </c>
      <c r="H39" s="54">
        <f>G39+E39-1</f>
        <v>45970</v>
      </c>
      <c r="L39" s="7"/>
      <c r="M39" s="7"/>
      <c r="N39" s="7"/>
      <c r="O39" s="7"/>
    </row>
    <row r="40" spans="2:15" ht="15.75" customHeight="1">
      <c r="B40" s="61">
        <v>36</v>
      </c>
      <c r="C40" s="56" t="s">
        <v>89</v>
      </c>
      <c r="D40" s="57" t="s">
        <v>156</v>
      </c>
      <c r="E40" s="65">
        <v>6</v>
      </c>
      <c r="F40" s="57" t="s">
        <v>122</v>
      </c>
      <c r="G40" s="66">
        <v>45961</v>
      </c>
      <c r="H40" s="54">
        <f>G40+E40-1</f>
        <v>45966</v>
      </c>
      <c r="L40" s="7"/>
      <c r="M40" s="7"/>
      <c r="N40" s="7"/>
      <c r="O40" s="7"/>
    </row>
    <row r="41" spans="2:15" ht="15.75" customHeight="1">
      <c r="B41" s="61">
        <v>37</v>
      </c>
      <c r="C41" s="67" t="s">
        <v>84</v>
      </c>
      <c r="D41" s="65" t="s">
        <v>157</v>
      </c>
      <c r="E41" s="65">
        <v>5</v>
      </c>
      <c r="F41" s="65" t="s">
        <v>123</v>
      </c>
      <c r="G41" s="66">
        <v>45968</v>
      </c>
      <c r="H41" s="54">
        <f>G41+E41-1</f>
        <v>45972</v>
      </c>
    </row>
    <row r="42" spans="2:15" ht="15.75" customHeight="1">
      <c r="B42" s="61">
        <v>38</v>
      </c>
      <c r="C42" s="68" t="s">
        <v>85</v>
      </c>
      <c r="D42" s="69" t="s">
        <v>121</v>
      </c>
      <c r="E42" s="65">
        <v>8</v>
      </c>
      <c r="F42" s="65" t="s">
        <v>122</v>
      </c>
      <c r="G42" s="66">
        <v>45968</v>
      </c>
      <c r="H42" s="54">
        <f>G42+E42-1</f>
        <v>45975</v>
      </c>
    </row>
    <row r="43" spans="2:15" ht="15.75" customHeight="1">
      <c r="B43" s="61">
        <v>39</v>
      </c>
      <c r="C43" s="68" t="s">
        <v>86</v>
      </c>
      <c r="D43" s="65" t="s">
        <v>158</v>
      </c>
      <c r="E43" s="65">
        <v>6</v>
      </c>
      <c r="F43" s="65" t="s">
        <v>125</v>
      </c>
      <c r="G43" s="66">
        <v>45973</v>
      </c>
      <c r="H43" s="54">
        <f>G43+E43-1</f>
        <v>45978</v>
      </c>
      <c r="L43" s="7"/>
      <c r="M43" s="7"/>
      <c r="N43" s="7"/>
      <c r="O43" s="7"/>
    </row>
    <row r="44" spans="2:15" ht="15.75" customHeight="1">
      <c r="B44" s="70">
        <v>40</v>
      </c>
      <c r="C44" s="68" t="s">
        <v>87</v>
      </c>
      <c r="D44" s="46" t="s">
        <v>121</v>
      </c>
      <c r="E44" s="46">
        <v>4</v>
      </c>
      <c r="F44" s="46" t="s">
        <v>126</v>
      </c>
      <c r="G44" s="66">
        <v>45970</v>
      </c>
      <c r="H44" s="54">
        <f>G44+E44-1</f>
        <v>45973</v>
      </c>
      <c r="L44" s="7"/>
      <c r="M44" s="7"/>
      <c r="N44" s="7"/>
      <c r="O44" s="7"/>
    </row>
    <row r="45" spans="2:15" ht="15.75" customHeight="1">
      <c r="B45" s="70">
        <v>41</v>
      </c>
      <c r="C45" s="68" t="s">
        <v>88</v>
      </c>
      <c r="D45" s="46" t="s">
        <v>159</v>
      </c>
      <c r="E45" s="46">
        <v>3</v>
      </c>
      <c r="F45" s="46" t="s">
        <v>125</v>
      </c>
      <c r="G45" s="66">
        <v>45973</v>
      </c>
      <c r="H45" s="54">
        <f>G45+E45-1</f>
        <v>45975</v>
      </c>
      <c r="L45" s="7"/>
      <c r="M45" s="7"/>
      <c r="N45" s="7"/>
      <c r="O45" s="7"/>
    </row>
    <row r="46" spans="2:15" ht="15.75" customHeight="1">
      <c r="B46" s="70">
        <v>42</v>
      </c>
      <c r="C46" s="68" t="s">
        <v>90</v>
      </c>
      <c r="D46" s="46" t="s">
        <v>121</v>
      </c>
      <c r="E46" s="46">
        <v>5</v>
      </c>
      <c r="F46" s="46" t="s">
        <v>126</v>
      </c>
      <c r="G46" s="66">
        <v>45967</v>
      </c>
      <c r="H46" s="54">
        <f>G46+E46-1</f>
        <v>45971</v>
      </c>
      <c r="L46" s="7"/>
      <c r="M46" s="7"/>
      <c r="N46" s="7"/>
      <c r="O46" s="7"/>
    </row>
    <row r="47" spans="2:15" ht="15.75" customHeight="1">
      <c r="B47" s="70">
        <v>43</v>
      </c>
      <c r="C47" s="68" t="s">
        <v>91</v>
      </c>
      <c r="D47" s="46" t="s">
        <v>160</v>
      </c>
      <c r="E47" s="46">
        <v>5</v>
      </c>
      <c r="F47" s="46" t="s">
        <v>127</v>
      </c>
      <c r="G47" s="66">
        <v>45979</v>
      </c>
      <c r="H47" s="54">
        <f>G47+E47-1</f>
        <v>45983</v>
      </c>
      <c r="L47" s="7"/>
      <c r="M47" s="7"/>
      <c r="N47" s="7"/>
      <c r="O47" s="7"/>
    </row>
    <row r="48" spans="2:15" ht="15.75" customHeight="1">
      <c r="B48" s="70">
        <v>44</v>
      </c>
      <c r="C48" s="68" t="s">
        <v>92</v>
      </c>
      <c r="D48" s="46" t="s">
        <v>161</v>
      </c>
      <c r="E48" s="46">
        <v>3</v>
      </c>
      <c r="F48" s="46" t="s">
        <v>123</v>
      </c>
      <c r="G48" s="66">
        <v>45973</v>
      </c>
      <c r="H48" s="54">
        <f>G48+E48-1</f>
        <v>45975</v>
      </c>
      <c r="L48" s="7"/>
      <c r="M48" s="7"/>
      <c r="N48" s="7"/>
      <c r="O48" s="7"/>
    </row>
    <row r="49" spans="2:15" ht="15.75" customHeight="1">
      <c r="B49" s="70">
        <v>45</v>
      </c>
      <c r="C49" s="68" t="s">
        <v>93</v>
      </c>
      <c r="D49" s="46" t="s">
        <v>162</v>
      </c>
      <c r="E49" s="46">
        <v>4</v>
      </c>
      <c r="F49" s="46" t="s">
        <v>127</v>
      </c>
      <c r="G49" s="66">
        <v>45977</v>
      </c>
      <c r="H49" s="54">
        <f>G49+E49-1</f>
        <v>45980</v>
      </c>
      <c r="L49" s="7"/>
      <c r="M49" s="7"/>
      <c r="N49" s="7"/>
      <c r="O49" s="7"/>
    </row>
    <row r="50" spans="2:15" ht="15.75" customHeight="1">
      <c r="B50" s="70">
        <v>46</v>
      </c>
      <c r="C50" s="45" t="s">
        <v>95</v>
      </c>
      <c r="D50" s="46" t="s">
        <v>121</v>
      </c>
      <c r="E50" s="46">
        <v>7</v>
      </c>
      <c r="F50" s="46" t="s">
        <v>143</v>
      </c>
      <c r="G50" s="66">
        <v>45983</v>
      </c>
      <c r="H50" s="54">
        <f>G50+E50-1</f>
        <v>45989</v>
      </c>
      <c r="L50" s="7"/>
      <c r="M50" s="7"/>
      <c r="N50" s="7"/>
      <c r="O50" s="7"/>
    </row>
    <row r="51" spans="2:15" ht="15.75" customHeight="1">
      <c r="B51" s="70">
        <v>47</v>
      </c>
      <c r="C51" s="45" t="s">
        <v>96</v>
      </c>
      <c r="D51" s="46" t="s">
        <v>163</v>
      </c>
      <c r="E51" s="46">
        <v>2</v>
      </c>
      <c r="F51" s="46" t="s">
        <v>123</v>
      </c>
      <c r="G51" s="66">
        <v>45984</v>
      </c>
      <c r="H51" s="54">
        <f>G51+E51-1</f>
        <v>45985</v>
      </c>
      <c r="L51" s="7"/>
      <c r="M51" s="7"/>
      <c r="N51" s="7"/>
      <c r="O51" s="7"/>
    </row>
    <row r="52" spans="2:15" ht="15.75" customHeight="1">
      <c r="B52" s="70">
        <v>48</v>
      </c>
      <c r="C52" s="45" t="s">
        <v>97</v>
      </c>
      <c r="D52" s="46" t="s">
        <v>163</v>
      </c>
      <c r="E52" s="46">
        <v>2</v>
      </c>
      <c r="F52" s="46" t="s">
        <v>127</v>
      </c>
      <c r="G52" s="66">
        <v>45984</v>
      </c>
      <c r="H52" s="54">
        <f>G52+E52-1</f>
        <v>45985</v>
      </c>
      <c r="L52" s="7"/>
      <c r="M52" s="7"/>
      <c r="N52" s="7"/>
      <c r="O52" s="7"/>
    </row>
    <row r="53" spans="2:15" ht="15.75" customHeight="1">
      <c r="B53" s="70">
        <v>49</v>
      </c>
      <c r="C53" s="45" t="s">
        <v>98</v>
      </c>
      <c r="D53" s="46" t="s">
        <v>163</v>
      </c>
      <c r="E53" s="46">
        <v>2</v>
      </c>
      <c r="F53" s="46" t="s">
        <v>122</v>
      </c>
      <c r="G53" s="66">
        <v>45984</v>
      </c>
      <c r="H53" s="54">
        <f>G53+E53-1</f>
        <v>45985</v>
      </c>
    </row>
    <row r="54" spans="2:15" ht="15.75" customHeight="1">
      <c r="B54" s="70">
        <v>50</v>
      </c>
      <c r="C54" s="45" t="s">
        <v>99</v>
      </c>
      <c r="D54" s="46" t="s">
        <v>163</v>
      </c>
      <c r="E54" s="46">
        <v>2</v>
      </c>
      <c r="F54" s="46" t="s">
        <v>125</v>
      </c>
      <c r="G54" s="66">
        <v>45984</v>
      </c>
      <c r="H54" s="54">
        <f>G54+E54-1</f>
        <v>45985</v>
      </c>
    </row>
    <row r="55" spans="2:15" ht="15.75" customHeight="1">
      <c r="B55" s="70">
        <v>51</v>
      </c>
      <c r="C55" s="45" t="s">
        <v>101</v>
      </c>
      <c r="D55" s="46" t="s">
        <v>163</v>
      </c>
      <c r="E55" s="46">
        <v>2</v>
      </c>
      <c r="F55" s="46" t="s">
        <v>127</v>
      </c>
      <c r="G55" s="66">
        <v>45984</v>
      </c>
      <c r="H55" s="54">
        <f>G55+E55-1</f>
        <v>45985</v>
      </c>
    </row>
    <row r="56" spans="2:15" ht="15.75" customHeight="1">
      <c r="B56" s="70">
        <v>52</v>
      </c>
      <c r="C56" s="45" t="s">
        <v>102</v>
      </c>
      <c r="D56" s="46" t="s">
        <v>163</v>
      </c>
      <c r="E56" s="46">
        <v>2</v>
      </c>
      <c r="F56" s="46" t="s">
        <v>123</v>
      </c>
      <c r="G56" s="66">
        <v>45984</v>
      </c>
      <c r="H56" s="54">
        <f>G56+E56-1</f>
        <v>45985</v>
      </c>
    </row>
    <row r="57" spans="2:15" ht="15.75" customHeight="1">
      <c r="B57" s="70">
        <v>53</v>
      </c>
      <c r="C57" s="47" t="s">
        <v>103</v>
      </c>
      <c r="D57" s="46" t="s">
        <v>163</v>
      </c>
      <c r="E57" s="46">
        <v>2</v>
      </c>
      <c r="F57" s="46" t="s">
        <v>125</v>
      </c>
      <c r="G57" s="66">
        <v>45984</v>
      </c>
      <c r="H57" s="54">
        <f>G57+E57-1</f>
        <v>45985</v>
      </c>
    </row>
    <row r="58" spans="2:15" ht="15.75" customHeight="1">
      <c r="B58" s="70">
        <v>54</v>
      </c>
      <c r="C58" s="45" t="s">
        <v>104</v>
      </c>
      <c r="D58" s="46" t="s">
        <v>163</v>
      </c>
      <c r="E58" s="46">
        <v>2</v>
      </c>
      <c r="F58" s="46" t="s">
        <v>126</v>
      </c>
      <c r="G58" s="66">
        <v>45984</v>
      </c>
      <c r="H58" s="54">
        <f>G58+E58-1</f>
        <v>45985</v>
      </c>
    </row>
    <row r="59" spans="2:15" ht="15.75" customHeight="1">
      <c r="B59" s="71">
        <v>55</v>
      </c>
      <c r="C59" s="72" t="s">
        <v>105</v>
      </c>
      <c r="D59" s="73" t="s">
        <v>163</v>
      </c>
      <c r="E59" s="73">
        <v>2</v>
      </c>
      <c r="F59" s="73" t="s">
        <v>122</v>
      </c>
      <c r="G59" s="74">
        <v>45984</v>
      </c>
      <c r="H59" s="75">
        <f>G59+E59-1</f>
        <v>45985</v>
      </c>
    </row>
    <row r="60" spans="2:15" ht="15.75" customHeight="1">
      <c r="B60" s="89"/>
      <c r="C60" s="90"/>
      <c r="D60" s="91"/>
      <c r="E60" s="91"/>
      <c r="F60" s="91"/>
      <c r="G60" s="92"/>
      <c r="H60" s="92"/>
    </row>
    <row r="61" spans="2:15" ht="15.75" customHeight="1"/>
    <row r="62" spans="2:15" ht="15.75" customHeight="1"/>
    <row r="63" spans="2:15" ht="15.75" customHeight="1"/>
    <row r="64" spans="2:15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8">
    <mergeCell ref="B2:H2"/>
    <mergeCell ref="B3:B4"/>
    <mergeCell ref="C3:C4"/>
    <mergeCell ref="D3:D4"/>
    <mergeCell ref="E3:E4"/>
    <mergeCell ref="F3:F4"/>
    <mergeCell ref="G3:G4"/>
    <mergeCell ref="H3:H4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7FBED-18FB-478B-80C6-B872FB7E3BAE}">
  <dimension ref="B1:O1001"/>
  <sheetViews>
    <sheetView topLeftCell="A38" zoomScale="80" zoomScaleNormal="80" workbookViewId="0">
      <selection activeCell="L14" sqref="L14"/>
    </sheetView>
  </sheetViews>
  <sheetFormatPr defaultColWidth="14.42578125" defaultRowHeight="15"/>
  <cols>
    <col min="1" max="2" width="10.5703125" customWidth="1"/>
    <col min="3" max="3" width="42.140625" customWidth="1"/>
    <col min="4" max="4" width="21" customWidth="1"/>
    <col min="5" max="5" width="20.42578125" customWidth="1"/>
    <col min="6" max="6" width="46.28515625" customWidth="1"/>
    <col min="7" max="11" width="10.5703125" customWidth="1"/>
    <col min="12" max="12" width="25.42578125" customWidth="1"/>
    <col min="13" max="13" width="9" customWidth="1"/>
    <col min="14" max="14" width="61.85546875" customWidth="1"/>
    <col min="15" max="26" width="10.5703125" customWidth="1"/>
  </cols>
  <sheetData>
    <row r="1" spans="2:12">
      <c r="B1" s="49"/>
    </row>
    <row r="2" spans="2:12" ht="23.25">
      <c r="B2" s="116" t="s">
        <v>111</v>
      </c>
      <c r="C2" s="116"/>
      <c r="D2" s="116"/>
      <c r="E2" s="116"/>
      <c r="F2" s="116"/>
      <c r="G2" s="116"/>
      <c r="H2" s="116"/>
      <c r="L2" s="7" t="s">
        <v>112</v>
      </c>
    </row>
    <row r="3" spans="2:12">
      <c r="B3" s="117" t="s">
        <v>113</v>
      </c>
      <c r="C3" s="118" t="s">
        <v>114</v>
      </c>
      <c r="D3" s="118" t="s">
        <v>115</v>
      </c>
      <c r="E3" s="118" t="s">
        <v>116</v>
      </c>
      <c r="F3" s="118" t="s">
        <v>117</v>
      </c>
      <c r="G3" s="118" t="s">
        <v>118</v>
      </c>
      <c r="H3" s="119" t="s">
        <v>119</v>
      </c>
    </row>
    <row r="4" spans="2:12">
      <c r="B4" s="117"/>
      <c r="C4" s="118"/>
      <c r="D4" s="118"/>
      <c r="E4" s="118"/>
      <c r="F4" s="118"/>
      <c r="G4" s="118"/>
      <c r="H4" s="120"/>
      <c r="L4" s="7" t="s">
        <v>120</v>
      </c>
    </row>
    <row r="5" spans="2:12">
      <c r="B5" s="94">
        <v>1</v>
      </c>
      <c r="C5" s="95" t="s">
        <v>82</v>
      </c>
      <c r="D5" s="96" t="s">
        <v>121</v>
      </c>
      <c r="E5" s="97">
        <v>3</v>
      </c>
      <c r="F5" s="96" t="s">
        <v>143</v>
      </c>
      <c r="G5" s="98">
        <v>45966</v>
      </c>
      <c r="H5" s="99">
        <f>G5+E5-1</f>
        <v>45968</v>
      </c>
    </row>
    <row r="6" spans="2:12">
      <c r="B6" s="61">
        <v>2</v>
      </c>
      <c r="C6" s="93" t="s">
        <v>83</v>
      </c>
      <c r="D6" s="57" t="s">
        <v>121</v>
      </c>
      <c r="E6" s="65">
        <v>2</v>
      </c>
      <c r="F6" s="57" t="s">
        <v>143</v>
      </c>
      <c r="G6" s="64">
        <v>45969</v>
      </c>
      <c r="H6" s="54">
        <f>G6+E6-1</f>
        <v>45970</v>
      </c>
      <c r="L6" s="7" t="s">
        <v>124</v>
      </c>
    </row>
    <row r="7" spans="2:12">
      <c r="B7" s="61">
        <v>3</v>
      </c>
      <c r="C7" s="56" t="s">
        <v>89</v>
      </c>
      <c r="D7" s="57" t="s">
        <v>121</v>
      </c>
      <c r="E7" s="65">
        <v>3</v>
      </c>
      <c r="F7" s="57" t="s">
        <v>122</v>
      </c>
      <c r="G7" s="66">
        <v>45961</v>
      </c>
      <c r="H7" s="54">
        <f>G7+E7-1</f>
        <v>45963</v>
      </c>
    </row>
    <row r="8" spans="2:12">
      <c r="B8" s="61">
        <v>4</v>
      </c>
      <c r="C8" s="67" t="s">
        <v>84</v>
      </c>
      <c r="D8" s="65" t="s">
        <v>121</v>
      </c>
      <c r="E8" s="65">
        <v>3</v>
      </c>
      <c r="F8" s="65" t="s">
        <v>123</v>
      </c>
      <c r="G8" s="66">
        <v>45968</v>
      </c>
      <c r="H8" s="54">
        <f>G8+E8-1</f>
        <v>45970</v>
      </c>
    </row>
    <row r="9" spans="2:12">
      <c r="B9" s="61">
        <v>5</v>
      </c>
      <c r="C9" s="68" t="s">
        <v>85</v>
      </c>
      <c r="D9" s="69" t="s">
        <v>121</v>
      </c>
      <c r="E9" s="65">
        <v>4</v>
      </c>
      <c r="F9" s="65" t="s">
        <v>122</v>
      </c>
      <c r="G9" s="66">
        <v>45968</v>
      </c>
      <c r="H9" s="54">
        <f>G9+E9-1</f>
        <v>45971</v>
      </c>
    </row>
    <row r="10" spans="2:12">
      <c r="B10" s="61">
        <v>6</v>
      </c>
      <c r="C10" s="68" t="s">
        <v>86</v>
      </c>
      <c r="D10" s="65" t="s">
        <v>164</v>
      </c>
      <c r="E10" s="65">
        <v>3</v>
      </c>
      <c r="F10" s="65" t="s">
        <v>125</v>
      </c>
      <c r="G10" s="66">
        <v>45973</v>
      </c>
      <c r="H10" s="54">
        <f>G10+E10-1</f>
        <v>45975</v>
      </c>
    </row>
    <row r="11" spans="2:12">
      <c r="B11" s="61">
        <v>7</v>
      </c>
      <c r="C11" s="68" t="s">
        <v>87</v>
      </c>
      <c r="D11" s="46" t="s">
        <v>121</v>
      </c>
      <c r="E11" s="46">
        <v>4</v>
      </c>
      <c r="F11" s="46" t="s">
        <v>126</v>
      </c>
      <c r="G11" s="66">
        <v>45970</v>
      </c>
      <c r="H11" s="54">
        <f>G11+E11-1</f>
        <v>45973</v>
      </c>
    </row>
    <row r="12" spans="2:12" ht="14.85" customHeight="1">
      <c r="B12" s="61">
        <v>8</v>
      </c>
      <c r="C12" s="68" t="s">
        <v>88</v>
      </c>
      <c r="D12" s="46" t="s">
        <v>165</v>
      </c>
      <c r="E12" s="46">
        <v>3</v>
      </c>
      <c r="F12" s="46" t="s">
        <v>125</v>
      </c>
      <c r="G12" s="66">
        <v>45974</v>
      </c>
      <c r="H12" s="54">
        <f>G12+E12-1</f>
        <v>45976</v>
      </c>
    </row>
    <row r="13" spans="2:12" ht="17.100000000000001" customHeight="1">
      <c r="B13" s="61">
        <v>9</v>
      </c>
      <c r="C13" s="68" t="s">
        <v>90</v>
      </c>
      <c r="D13" s="46" t="s">
        <v>121</v>
      </c>
      <c r="E13" s="46">
        <v>3</v>
      </c>
      <c r="F13" s="46" t="s">
        <v>126</v>
      </c>
      <c r="G13" s="66">
        <v>45967</v>
      </c>
      <c r="H13" s="54">
        <f>G13+E13-1</f>
        <v>45969</v>
      </c>
    </row>
    <row r="14" spans="2:12">
      <c r="B14" s="61">
        <v>10</v>
      </c>
      <c r="C14" s="68" t="s">
        <v>91</v>
      </c>
      <c r="D14" s="46" t="s">
        <v>166</v>
      </c>
      <c r="E14" s="46">
        <v>3</v>
      </c>
      <c r="F14" s="46" t="s">
        <v>127</v>
      </c>
      <c r="G14" s="66">
        <v>45979</v>
      </c>
      <c r="H14" s="54">
        <f>G14+E14-1</f>
        <v>45981</v>
      </c>
    </row>
    <row r="15" spans="2:12">
      <c r="B15" s="61">
        <v>11</v>
      </c>
      <c r="C15" s="68" t="s">
        <v>92</v>
      </c>
      <c r="D15" s="46" t="s">
        <v>121</v>
      </c>
      <c r="E15" s="46">
        <v>2</v>
      </c>
      <c r="F15" s="46" t="s">
        <v>123</v>
      </c>
      <c r="G15" s="66">
        <v>45973</v>
      </c>
      <c r="H15" s="54">
        <f>G15+E15-1</f>
        <v>45974</v>
      </c>
    </row>
    <row r="16" spans="2:12">
      <c r="B16" s="61">
        <v>12</v>
      </c>
      <c r="C16" s="68" t="s">
        <v>93</v>
      </c>
      <c r="D16" s="46" t="s">
        <v>121</v>
      </c>
      <c r="E16" s="46">
        <v>2</v>
      </c>
      <c r="F16" s="46" t="s">
        <v>127</v>
      </c>
      <c r="G16" s="66">
        <v>45977</v>
      </c>
      <c r="H16" s="54">
        <f>G16+E16-1</f>
        <v>45978</v>
      </c>
    </row>
    <row r="17" spans="2:12">
      <c r="B17" s="61">
        <v>13</v>
      </c>
      <c r="C17" s="45" t="s">
        <v>94</v>
      </c>
      <c r="D17" s="46" t="s">
        <v>121</v>
      </c>
      <c r="E17" s="46">
        <v>1</v>
      </c>
      <c r="F17" s="46" t="s">
        <v>123</v>
      </c>
      <c r="G17" s="66">
        <v>45975</v>
      </c>
      <c r="H17" s="54">
        <f>G17+E17-1</f>
        <v>45975</v>
      </c>
    </row>
    <row r="18" spans="2:12">
      <c r="B18" s="61">
        <v>14</v>
      </c>
      <c r="C18" s="45" t="s">
        <v>95</v>
      </c>
      <c r="D18" s="46" t="s">
        <v>121</v>
      </c>
      <c r="E18" s="46">
        <v>5</v>
      </c>
      <c r="F18" s="46" t="s">
        <v>143</v>
      </c>
      <c r="G18" s="66">
        <v>45979</v>
      </c>
      <c r="H18" s="54">
        <f>G18+E18-1</f>
        <v>45983</v>
      </c>
    </row>
    <row r="19" spans="2:12">
      <c r="B19" s="61">
        <v>15</v>
      </c>
      <c r="C19" s="45" t="s">
        <v>96</v>
      </c>
      <c r="D19" s="46" t="s">
        <v>167</v>
      </c>
      <c r="E19" s="46">
        <v>2</v>
      </c>
      <c r="F19" s="46" t="s">
        <v>123</v>
      </c>
      <c r="G19" s="66">
        <v>45986</v>
      </c>
      <c r="H19" s="54">
        <f>G19+E19-1</f>
        <v>45987</v>
      </c>
    </row>
    <row r="20" spans="2:12">
      <c r="B20" s="61">
        <v>16</v>
      </c>
      <c r="C20" s="45" t="s">
        <v>97</v>
      </c>
      <c r="D20" s="46" t="s">
        <v>167</v>
      </c>
      <c r="E20" s="46">
        <v>2</v>
      </c>
      <c r="F20" s="46" t="s">
        <v>127</v>
      </c>
      <c r="G20" s="66">
        <v>45991</v>
      </c>
      <c r="H20" s="54">
        <f>G20+E20-1</f>
        <v>45992</v>
      </c>
    </row>
    <row r="21" spans="2:12" ht="15.75" customHeight="1">
      <c r="B21" s="61">
        <v>17</v>
      </c>
      <c r="C21" s="45" t="s">
        <v>98</v>
      </c>
      <c r="D21" s="46" t="s">
        <v>168</v>
      </c>
      <c r="E21" s="46">
        <v>2</v>
      </c>
      <c r="F21" s="46" t="s">
        <v>122</v>
      </c>
      <c r="G21" s="66">
        <v>45987</v>
      </c>
      <c r="H21" s="54">
        <f>G21+E21-1</f>
        <v>45988</v>
      </c>
      <c r="L21" s="7"/>
    </row>
    <row r="22" spans="2:12" ht="15.75" customHeight="1">
      <c r="B22" s="61">
        <v>18</v>
      </c>
      <c r="C22" s="45" t="s">
        <v>99</v>
      </c>
      <c r="D22" s="46" t="s">
        <v>168</v>
      </c>
      <c r="E22" s="46">
        <v>2</v>
      </c>
      <c r="F22" s="46" t="s">
        <v>125</v>
      </c>
      <c r="G22" s="66">
        <v>45986</v>
      </c>
      <c r="H22" s="54">
        <f>G22+E22-1</f>
        <v>45987</v>
      </c>
      <c r="L22" s="7"/>
    </row>
    <row r="23" spans="2:12" ht="15.75" customHeight="1">
      <c r="B23" s="61">
        <v>19</v>
      </c>
      <c r="C23" s="45" t="s">
        <v>100</v>
      </c>
      <c r="D23" s="46" t="s">
        <v>168</v>
      </c>
      <c r="E23" s="46">
        <v>2</v>
      </c>
      <c r="F23" s="46" t="s">
        <v>126</v>
      </c>
      <c r="G23" s="66">
        <v>45991</v>
      </c>
      <c r="H23" s="54">
        <f>G23+E23-1</f>
        <v>45992</v>
      </c>
    </row>
    <row r="24" spans="2:12" ht="15.75" customHeight="1">
      <c r="B24" s="61">
        <v>20</v>
      </c>
      <c r="C24" s="45" t="s">
        <v>101</v>
      </c>
      <c r="D24" s="46" t="s">
        <v>168</v>
      </c>
      <c r="E24" s="46">
        <v>2</v>
      </c>
      <c r="F24" s="46" t="s">
        <v>127</v>
      </c>
      <c r="G24" s="66">
        <v>45987</v>
      </c>
      <c r="H24" s="54">
        <f>G24+E24-1</f>
        <v>45988</v>
      </c>
    </row>
    <row r="25" spans="2:12" ht="15.75" customHeight="1">
      <c r="B25" s="61">
        <v>21</v>
      </c>
      <c r="C25" s="45" t="s">
        <v>102</v>
      </c>
      <c r="D25" s="46" t="s">
        <v>168</v>
      </c>
      <c r="E25" s="46">
        <v>2</v>
      </c>
      <c r="F25" s="46" t="s">
        <v>123</v>
      </c>
      <c r="G25" s="66">
        <v>45985</v>
      </c>
      <c r="H25" s="54">
        <f>G25+E25-1</f>
        <v>45986</v>
      </c>
    </row>
    <row r="26" spans="2:12" ht="15.75" customHeight="1">
      <c r="B26" s="61">
        <v>22</v>
      </c>
      <c r="C26" s="47" t="s">
        <v>103</v>
      </c>
      <c r="D26" s="46" t="s">
        <v>168</v>
      </c>
      <c r="E26" s="46">
        <v>2</v>
      </c>
      <c r="F26" s="46" t="s">
        <v>125</v>
      </c>
      <c r="G26" s="66">
        <v>45988</v>
      </c>
      <c r="H26" s="54">
        <f>G26+E26-1</f>
        <v>45989</v>
      </c>
    </row>
    <row r="27" spans="2:12" ht="15.75" customHeight="1">
      <c r="B27" s="55">
        <v>23</v>
      </c>
      <c r="C27" s="45" t="s">
        <v>104</v>
      </c>
      <c r="D27" s="46" t="s">
        <v>168</v>
      </c>
      <c r="E27" s="46">
        <v>2</v>
      </c>
      <c r="F27" s="46" t="s">
        <v>126</v>
      </c>
      <c r="G27" s="66">
        <v>45987</v>
      </c>
      <c r="H27" s="54">
        <f>G27+E27-1</f>
        <v>45988</v>
      </c>
    </row>
    <row r="28" spans="2:12" ht="15.75" customHeight="1">
      <c r="B28" s="55">
        <v>24</v>
      </c>
      <c r="C28" s="45" t="s">
        <v>169</v>
      </c>
      <c r="D28" s="46" t="s">
        <v>168</v>
      </c>
      <c r="E28" s="57">
        <v>2</v>
      </c>
      <c r="F28" s="57" t="s">
        <v>122</v>
      </c>
      <c r="G28" s="58">
        <v>45985</v>
      </c>
      <c r="H28" s="54">
        <f t="shared" ref="H28:H32" si="0">G28+E28-1</f>
        <v>45986</v>
      </c>
    </row>
    <row r="29" spans="2:12" ht="15.75" customHeight="1">
      <c r="B29" s="55">
        <v>25</v>
      </c>
      <c r="C29" s="56" t="s">
        <v>106</v>
      </c>
      <c r="D29" s="46" t="s">
        <v>168</v>
      </c>
      <c r="E29" s="57">
        <v>2</v>
      </c>
      <c r="F29" s="57" t="s">
        <v>143</v>
      </c>
      <c r="G29" s="58">
        <v>45990</v>
      </c>
      <c r="H29" s="54">
        <f t="shared" ref="H29:H33" si="1">G29+E29-1</f>
        <v>45991</v>
      </c>
    </row>
    <row r="30" spans="2:12" ht="15.75" customHeight="1">
      <c r="B30" s="55">
        <v>26</v>
      </c>
      <c r="C30" s="56" t="s">
        <v>107</v>
      </c>
      <c r="D30" s="46" t="s">
        <v>168</v>
      </c>
      <c r="E30" s="57">
        <v>1</v>
      </c>
      <c r="F30" s="57" t="s">
        <v>143</v>
      </c>
      <c r="G30" s="58">
        <v>45991</v>
      </c>
      <c r="H30" s="54">
        <f t="shared" si="1"/>
        <v>45991</v>
      </c>
    </row>
    <row r="31" spans="2:12" ht="15.75" customHeight="1">
      <c r="B31" s="55">
        <v>27</v>
      </c>
      <c r="C31" s="56" t="s">
        <v>108</v>
      </c>
      <c r="D31" s="46" t="s">
        <v>168</v>
      </c>
      <c r="E31" s="57">
        <v>1</v>
      </c>
      <c r="F31" s="57" t="s">
        <v>143</v>
      </c>
      <c r="G31" s="58">
        <v>45991</v>
      </c>
      <c r="H31" s="54">
        <f t="shared" si="1"/>
        <v>45991</v>
      </c>
    </row>
    <row r="32" spans="2:12" ht="15.75" customHeight="1">
      <c r="B32" s="55">
        <v>28</v>
      </c>
      <c r="C32" s="56" t="s">
        <v>109</v>
      </c>
      <c r="D32" s="60" t="s">
        <v>121</v>
      </c>
      <c r="E32" s="57">
        <v>1</v>
      </c>
      <c r="F32" s="57" t="s">
        <v>143</v>
      </c>
      <c r="G32" s="58">
        <v>45993</v>
      </c>
      <c r="H32" s="54">
        <f t="shared" si="1"/>
        <v>45993</v>
      </c>
    </row>
    <row r="33" spans="2:15" ht="15.75" customHeight="1">
      <c r="B33" s="100">
        <v>29</v>
      </c>
      <c r="C33" s="101" t="s">
        <v>110</v>
      </c>
      <c r="D33" s="102" t="s">
        <v>121</v>
      </c>
      <c r="E33" s="102">
        <v>2</v>
      </c>
      <c r="F33" s="102" t="s">
        <v>143</v>
      </c>
      <c r="G33" s="103">
        <v>45993</v>
      </c>
      <c r="H33" s="104">
        <f t="shared" si="1"/>
        <v>45994</v>
      </c>
    </row>
    <row r="34" spans="2:15" ht="15.75" customHeight="1"/>
    <row r="35" spans="2:15" ht="15.75" customHeight="1"/>
    <row r="36" spans="2:15" ht="15.75" customHeight="1"/>
    <row r="37" spans="2:15" ht="15.75" customHeight="1">
      <c r="M37" s="7"/>
      <c r="N37" s="7"/>
      <c r="O37" s="7"/>
    </row>
    <row r="38" spans="2:15" ht="15.75" customHeight="1">
      <c r="L38" s="7"/>
    </row>
    <row r="39" spans="2:15" ht="15.75" customHeight="1">
      <c r="L39" s="7"/>
      <c r="M39" s="7"/>
      <c r="N39" s="7"/>
      <c r="O39" s="7"/>
    </row>
    <row r="40" spans="2:15" ht="15.75" customHeight="1">
      <c r="L40" s="7"/>
      <c r="M40" s="7"/>
      <c r="N40" s="7"/>
      <c r="O40" s="7"/>
    </row>
    <row r="41" spans="2:15" ht="15.75" customHeight="1"/>
    <row r="42" spans="2:15" ht="15.75" customHeight="1"/>
    <row r="43" spans="2:15" ht="15.75" customHeight="1">
      <c r="L43" s="7"/>
      <c r="M43" s="7"/>
      <c r="N43" s="7"/>
      <c r="O43" s="7"/>
    </row>
    <row r="44" spans="2:15" ht="15.75" customHeight="1">
      <c r="L44" s="7"/>
      <c r="M44" s="7"/>
      <c r="N44" s="7"/>
      <c r="O44" s="7"/>
    </row>
    <row r="45" spans="2:15" ht="15.75" customHeight="1">
      <c r="L45" s="7"/>
      <c r="M45" s="7"/>
      <c r="N45" s="7"/>
      <c r="O45" s="7"/>
    </row>
    <row r="46" spans="2:15" ht="15.75" customHeight="1">
      <c r="L46" s="7"/>
      <c r="M46" s="7"/>
      <c r="N46" s="7"/>
      <c r="O46" s="7"/>
    </row>
    <row r="47" spans="2:15" ht="15.75" customHeight="1">
      <c r="L47" s="7"/>
      <c r="M47" s="7"/>
      <c r="N47" s="7"/>
      <c r="O47" s="7"/>
    </row>
    <row r="48" spans="2:15" ht="15.75" customHeight="1">
      <c r="L48" s="7"/>
      <c r="M48" s="7"/>
      <c r="N48" s="7"/>
      <c r="O48" s="7"/>
    </row>
    <row r="49" spans="2:15" ht="15.75" customHeight="1">
      <c r="L49" s="7"/>
      <c r="M49" s="7"/>
      <c r="N49" s="7"/>
      <c r="O49" s="7"/>
    </row>
    <row r="50" spans="2:15" ht="15.75" customHeight="1">
      <c r="L50" s="7"/>
      <c r="M50" s="7"/>
      <c r="N50" s="7"/>
      <c r="O50" s="7"/>
    </row>
    <row r="51" spans="2:15" ht="15.75" customHeight="1">
      <c r="L51" s="7"/>
      <c r="M51" s="7"/>
      <c r="N51" s="7"/>
      <c r="O51" s="7"/>
    </row>
    <row r="52" spans="2:15" ht="15.75" customHeight="1">
      <c r="L52" s="7"/>
      <c r="M52" s="7"/>
      <c r="N52" s="7"/>
      <c r="O52" s="7"/>
    </row>
    <row r="53" spans="2:15" ht="15.75" customHeight="1"/>
    <row r="54" spans="2:15" ht="15.75" customHeight="1"/>
    <row r="55" spans="2:15" ht="15.75" customHeight="1"/>
    <row r="56" spans="2:15" ht="15.75" customHeight="1"/>
    <row r="57" spans="2:15" ht="15.75" customHeight="1"/>
    <row r="58" spans="2:15" ht="15.75" customHeight="1"/>
    <row r="59" spans="2:15" ht="15.75" customHeight="1"/>
    <row r="60" spans="2:15" ht="15.75" customHeight="1">
      <c r="B60" s="89"/>
      <c r="C60" s="90"/>
      <c r="D60" s="91"/>
      <c r="E60" s="91"/>
      <c r="F60" s="91"/>
      <c r="G60" s="92"/>
      <c r="H60" s="92"/>
    </row>
    <row r="61" spans="2:15" ht="15.75" customHeight="1"/>
    <row r="62" spans="2:15" ht="15.75" customHeight="1"/>
    <row r="63" spans="2:15" ht="15.75" customHeight="1"/>
    <row r="64" spans="2:15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8">
    <mergeCell ref="B2:H2"/>
    <mergeCell ref="B3:B4"/>
    <mergeCell ref="C3:C4"/>
    <mergeCell ref="D3:D4"/>
    <mergeCell ref="E3:E4"/>
    <mergeCell ref="F3:F4"/>
    <mergeCell ref="G3:G4"/>
    <mergeCell ref="H3:H4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N1000"/>
  <sheetViews>
    <sheetView zoomScale="80" zoomScaleNormal="80" workbookViewId="0"/>
  </sheetViews>
  <sheetFormatPr defaultColWidth="14.42578125" defaultRowHeight="15"/>
  <cols>
    <col min="1" max="1" width="9" customWidth="1"/>
    <col min="2" max="2" width="7.140625" customWidth="1"/>
    <col min="3" max="3" width="73.140625" customWidth="1"/>
    <col min="4" max="4" width="16.85546875" customWidth="1"/>
    <col min="5" max="11" width="10" customWidth="1"/>
    <col min="12" max="26" width="9" customWidth="1"/>
  </cols>
  <sheetData>
    <row r="2" spans="2:14" ht="24.4">
      <c r="B2" s="121" t="s">
        <v>170</v>
      </c>
      <c r="C2" s="121"/>
      <c r="D2" s="121"/>
      <c r="E2" s="121"/>
      <c r="F2" s="121"/>
      <c r="G2" s="121"/>
      <c r="H2" s="121"/>
      <c r="I2" s="121"/>
      <c r="J2" s="121"/>
      <c r="K2" s="121"/>
    </row>
    <row r="3" spans="2:14">
      <c r="B3" s="122"/>
      <c r="C3" s="122"/>
      <c r="D3" s="122"/>
      <c r="E3" s="122"/>
      <c r="F3" s="122"/>
      <c r="G3" s="122"/>
      <c r="H3" s="122"/>
      <c r="I3" s="122"/>
      <c r="J3" s="122"/>
      <c r="K3" s="122"/>
    </row>
    <row r="4" spans="2:14" ht="15" customHeight="1">
      <c r="B4" s="110" t="s">
        <v>1</v>
      </c>
      <c r="C4" s="111" t="s">
        <v>2</v>
      </c>
      <c r="D4" s="123" t="s">
        <v>3</v>
      </c>
      <c r="E4" s="3">
        <v>45928</v>
      </c>
      <c r="F4" s="3">
        <v>45929</v>
      </c>
      <c r="G4" s="3">
        <v>45930</v>
      </c>
      <c r="H4" s="3">
        <v>45931</v>
      </c>
      <c r="I4" s="3">
        <v>45932</v>
      </c>
      <c r="J4" s="3">
        <v>45933</v>
      </c>
      <c r="K4" s="3">
        <v>45934</v>
      </c>
    </row>
    <row r="5" spans="2:14">
      <c r="B5" s="110"/>
      <c r="C5" s="111"/>
      <c r="D5" s="111"/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N5" s="7" t="s">
        <v>33</v>
      </c>
    </row>
    <row r="6" spans="2:14">
      <c r="B6" s="8">
        <v>1</v>
      </c>
      <c r="C6" s="9" t="s">
        <v>171</v>
      </c>
      <c r="D6" s="10">
        <v>6</v>
      </c>
      <c r="E6" s="16">
        <v>0</v>
      </c>
      <c r="F6" s="16">
        <v>0</v>
      </c>
      <c r="G6" s="16">
        <v>2</v>
      </c>
      <c r="H6" s="16">
        <v>1</v>
      </c>
      <c r="I6" s="16">
        <v>1</v>
      </c>
      <c r="J6" s="16">
        <v>0</v>
      </c>
      <c r="K6" s="16">
        <v>2</v>
      </c>
    </row>
    <row r="7" spans="2:14">
      <c r="B7" s="14">
        <v>2</v>
      </c>
      <c r="C7" s="15" t="s">
        <v>35</v>
      </c>
      <c r="D7" s="10">
        <v>6</v>
      </c>
      <c r="E7" s="16">
        <v>0</v>
      </c>
      <c r="F7" s="16">
        <v>0</v>
      </c>
      <c r="G7" s="16">
        <v>0</v>
      </c>
      <c r="H7" s="16">
        <v>2</v>
      </c>
      <c r="I7" s="16">
        <v>3</v>
      </c>
      <c r="J7" s="16">
        <v>1</v>
      </c>
      <c r="K7" s="16">
        <v>0</v>
      </c>
      <c r="N7" s="7" t="s">
        <v>36</v>
      </c>
    </row>
    <row r="8" spans="2:14">
      <c r="B8" s="14">
        <v>3</v>
      </c>
      <c r="C8" s="15" t="s">
        <v>172</v>
      </c>
      <c r="D8" s="10">
        <v>6</v>
      </c>
      <c r="E8" s="16">
        <v>0</v>
      </c>
      <c r="F8" s="16">
        <v>0</v>
      </c>
      <c r="G8" s="16">
        <v>3</v>
      </c>
      <c r="H8" s="16">
        <v>2</v>
      </c>
      <c r="I8" s="16">
        <v>1</v>
      </c>
      <c r="J8" s="16">
        <v>0</v>
      </c>
      <c r="K8" s="16">
        <v>0</v>
      </c>
    </row>
    <row r="9" spans="2:14">
      <c r="B9" s="14">
        <v>4</v>
      </c>
      <c r="C9" s="15" t="s">
        <v>38</v>
      </c>
      <c r="D9" s="10">
        <v>6</v>
      </c>
      <c r="E9" s="16">
        <v>0</v>
      </c>
      <c r="F9" s="16">
        <v>0</v>
      </c>
      <c r="G9" s="16">
        <v>0</v>
      </c>
      <c r="H9" s="16">
        <v>2</v>
      </c>
      <c r="I9" s="16">
        <v>3</v>
      </c>
      <c r="J9" s="16">
        <v>1</v>
      </c>
      <c r="K9" s="16">
        <v>0</v>
      </c>
    </row>
    <row r="10" spans="2:14">
      <c r="B10" s="14">
        <v>5</v>
      </c>
      <c r="C10" s="15" t="s">
        <v>39</v>
      </c>
      <c r="D10" s="10">
        <v>6</v>
      </c>
      <c r="E10" s="16">
        <v>0</v>
      </c>
      <c r="F10" s="16">
        <v>0</v>
      </c>
      <c r="G10" s="16">
        <v>0</v>
      </c>
      <c r="H10" s="16">
        <v>0</v>
      </c>
      <c r="I10" s="16">
        <v>2</v>
      </c>
      <c r="J10" s="16">
        <v>2</v>
      </c>
      <c r="K10" s="16">
        <v>2</v>
      </c>
    </row>
    <row r="11" spans="2:14" ht="15" customHeight="1">
      <c r="B11" s="105" t="s">
        <v>68</v>
      </c>
      <c r="C11" s="105"/>
      <c r="D11" s="31">
        <v>0</v>
      </c>
      <c r="E11" s="76">
        <f>SUM(E6:E10)</f>
        <v>0</v>
      </c>
      <c r="F11" s="76">
        <f>SUM(F6:F10)</f>
        <v>0</v>
      </c>
      <c r="G11" s="76">
        <f>SUM(G6:G10)</f>
        <v>5</v>
      </c>
      <c r="H11" s="76">
        <f>SUM(H6:H10)</f>
        <v>7</v>
      </c>
      <c r="I11" s="76">
        <f>SUM(I6:I10)</f>
        <v>10</v>
      </c>
      <c r="J11" s="76">
        <f>SUM(J6:J10)</f>
        <v>4</v>
      </c>
      <c r="K11" s="76">
        <f>SUM(K6:K10)</f>
        <v>4</v>
      </c>
      <c r="L11" s="77"/>
    </row>
    <row r="12" spans="2:14">
      <c r="B12" s="106" t="s">
        <v>69</v>
      </c>
      <c r="C12" s="106"/>
      <c r="D12" s="32">
        <f>SUM(D6:D11)</f>
        <v>30</v>
      </c>
      <c r="E12" s="33">
        <f>D12-SUM(E6:E10)</f>
        <v>30</v>
      </c>
      <c r="F12" s="34">
        <f>E12-SUM(F6:F10)</f>
        <v>30</v>
      </c>
      <c r="G12" s="34">
        <f>F12-SUM(G6:G10)</f>
        <v>25</v>
      </c>
      <c r="H12" s="34">
        <f>G12-SUM(H6:H10)</f>
        <v>18</v>
      </c>
      <c r="I12" s="34">
        <f>H12-SUM(I6:I10)</f>
        <v>8</v>
      </c>
      <c r="J12" s="78">
        <f>I12-SUM(J6:J10)</f>
        <v>4</v>
      </c>
      <c r="K12" s="78">
        <f>J12-SUM(K6:K10)</f>
        <v>0</v>
      </c>
    </row>
    <row r="13" spans="2:14">
      <c r="B13" s="107" t="s">
        <v>70</v>
      </c>
      <c r="C13" s="107"/>
      <c r="D13" s="36">
        <f>D12</f>
        <v>30</v>
      </c>
      <c r="E13" s="37">
        <f>$D$13-($D$13/7*1)</f>
        <v>25.714285714285715</v>
      </c>
      <c r="F13" s="38">
        <f>$D$13-($D$13/7*2)</f>
        <v>21.428571428571431</v>
      </c>
      <c r="G13" s="38">
        <f>$D$13-($D$13/7*3)</f>
        <v>17.142857142857142</v>
      </c>
      <c r="H13" s="38">
        <f>$D$13-($D$13/7*4)</f>
        <v>12.857142857142858</v>
      </c>
      <c r="I13" s="38">
        <f>$D$13-($D$13/7*5)</f>
        <v>8.571428571428573</v>
      </c>
      <c r="J13" s="38">
        <f>$D$13-($D$13/7*6)</f>
        <v>4.2857142857142847</v>
      </c>
      <c r="K13" s="38">
        <f>$D$13-($D$13/7*7)</f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B11:C11"/>
    <mergeCell ref="B12:C12"/>
    <mergeCell ref="B13:C13"/>
    <mergeCell ref="B2:K2"/>
    <mergeCell ref="B3:K3"/>
    <mergeCell ref="B4:B5"/>
    <mergeCell ref="C4:C5"/>
    <mergeCell ref="D4:D5"/>
  </mergeCells>
  <pageMargins left="0.7" right="0.7" top="0.75" bottom="0.75" header="0.511811023622047" footer="0.511811023622047"/>
  <pageSetup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L1000"/>
  <sheetViews>
    <sheetView topLeftCell="U1" zoomScale="80" zoomScaleNormal="80" workbookViewId="0">
      <selection activeCell="AK1" sqref="AK1"/>
    </sheetView>
  </sheetViews>
  <sheetFormatPr defaultColWidth="14.42578125" defaultRowHeight="15"/>
  <cols>
    <col min="1" max="1" width="9" customWidth="1"/>
    <col min="2" max="2" width="7.140625" customWidth="1"/>
    <col min="3" max="3" width="73.140625" customWidth="1"/>
    <col min="4" max="4" width="15.5703125" customWidth="1"/>
    <col min="5" max="11" width="10" customWidth="1"/>
    <col min="12" max="26" width="9" customWidth="1"/>
  </cols>
  <sheetData>
    <row r="2" spans="2:11" ht="24.4">
      <c r="B2" s="121" t="s">
        <v>173</v>
      </c>
      <c r="C2" s="121"/>
      <c r="D2" s="121"/>
      <c r="E2" s="121"/>
      <c r="F2" s="121"/>
      <c r="G2" s="121"/>
      <c r="H2" s="121"/>
      <c r="I2" s="121"/>
      <c r="J2" s="121"/>
      <c r="K2" s="121"/>
    </row>
    <row r="3" spans="2:11">
      <c r="B3" s="122"/>
      <c r="C3" s="122"/>
      <c r="D3" s="122"/>
      <c r="E3" s="122"/>
      <c r="F3" s="122"/>
      <c r="G3" s="122"/>
      <c r="H3" s="122"/>
      <c r="I3" s="122"/>
      <c r="J3" s="122"/>
      <c r="K3" s="122"/>
    </row>
    <row r="4" spans="2:11" ht="15" customHeight="1">
      <c r="B4" s="110" t="s">
        <v>1</v>
      </c>
      <c r="C4" s="111" t="s">
        <v>2</v>
      </c>
      <c r="D4" s="123" t="s">
        <v>3</v>
      </c>
      <c r="E4" s="3">
        <v>45935</v>
      </c>
      <c r="F4" s="3">
        <v>45936</v>
      </c>
      <c r="G4" s="3">
        <v>45937</v>
      </c>
      <c r="H4" s="3">
        <v>45938</v>
      </c>
      <c r="I4" s="3">
        <v>45939</v>
      </c>
      <c r="J4" s="3">
        <v>45940</v>
      </c>
      <c r="K4" s="79">
        <v>45941</v>
      </c>
    </row>
    <row r="5" spans="2:11">
      <c r="B5" s="110"/>
      <c r="C5" s="111"/>
      <c r="D5" s="111"/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6" t="s">
        <v>10</v>
      </c>
    </row>
    <row r="6" spans="2:11">
      <c r="B6" s="80">
        <v>6</v>
      </c>
      <c r="C6" s="81" t="s">
        <v>40</v>
      </c>
      <c r="D6" s="10">
        <v>8</v>
      </c>
      <c r="E6" s="16"/>
      <c r="F6" s="16"/>
      <c r="G6" s="16"/>
      <c r="H6" s="16">
        <v>3</v>
      </c>
      <c r="I6" s="16">
        <v>3</v>
      </c>
      <c r="J6" s="16">
        <v>2</v>
      </c>
      <c r="K6" s="82"/>
    </row>
    <row r="7" spans="2:11">
      <c r="B7" s="80">
        <v>7</v>
      </c>
      <c r="C7" s="81" t="s">
        <v>41</v>
      </c>
      <c r="D7" s="10">
        <v>8</v>
      </c>
      <c r="E7" s="16"/>
      <c r="F7" s="16"/>
      <c r="G7" s="16"/>
      <c r="H7" s="16"/>
      <c r="I7" s="16"/>
      <c r="J7" s="16"/>
      <c r="K7" s="82"/>
    </row>
    <row r="8" spans="2:11">
      <c r="B8" s="80">
        <v>8</v>
      </c>
      <c r="C8" s="83" t="s">
        <v>42</v>
      </c>
      <c r="D8" s="10">
        <v>8</v>
      </c>
      <c r="E8" s="16"/>
      <c r="F8" s="16"/>
      <c r="G8" s="16">
        <v>1</v>
      </c>
      <c r="H8" s="16">
        <v>2</v>
      </c>
      <c r="I8" s="16">
        <v>3</v>
      </c>
      <c r="J8" s="16">
        <v>2</v>
      </c>
      <c r="K8" s="82"/>
    </row>
    <row r="9" spans="2:11">
      <c r="B9" s="80">
        <v>9</v>
      </c>
      <c r="C9" s="83" t="s">
        <v>43</v>
      </c>
      <c r="D9" s="10">
        <v>8</v>
      </c>
      <c r="E9" s="16"/>
      <c r="F9" s="16"/>
      <c r="G9" s="16"/>
      <c r="H9" s="16"/>
      <c r="I9" s="16"/>
      <c r="J9" s="16"/>
      <c r="K9" s="82"/>
    </row>
    <row r="10" spans="2:11">
      <c r="B10" s="80">
        <v>10</v>
      </c>
      <c r="C10" s="83" t="s">
        <v>174</v>
      </c>
      <c r="D10" s="10">
        <v>2</v>
      </c>
      <c r="E10" s="16"/>
      <c r="F10" s="16"/>
      <c r="G10" s="16">
        <v>2</v>
      </c>
      <c r="H10" s="16"/>
      <c r="I10" s="16"/>
      <c r="J10" s="16"/>
      <c r="K10" s="82"/>
    </row>
    <row r="11" spans="2:11">
      <c r="B11" s="80">
        <v>11</v>
      </c>
      <c r="C11" s="83" t="s">
        <v>175</v>
      </c>
      <c r="D11" s="10">
        <v>2</v>
      </c>
      <c r="E11" s="16"/>
      <c r="F11" s="16">
        <v>2</v>
      </c>
      <c r="G11" s="16"/>
      <c r="H11" s="16"/>
      <c r="I11" s="16"/>
      <c r="J11" s="16"/>
      <c r="K11" s="82"/>
    </row>
    <row r="12" spans="2:11">
      <c r="B12" s="80">
        <v>12</v>
      </c>
      <c r="C12" s="83" t="s">
        <v>176</v>
      </c>
      <c r="D12" s="10">
        <v>2</v>
      </c>
      <c r="E12" s="16"/>
      <c r="F12" s="16"/>
      <c r="G12" s="16">
        <v>2</v>
      </c>
      <c r="H12" s="16"/>
      <c r="I12" s="16"/>
      <c r="J12" s="16"/>
      <c r="K12" s="82"/>
    </row>
    <row r="13" spans="2:11">
      <c r="B13" s="80">
        <v>13</v>
      </c>
      <c r="C13" s="83" t="s">
        <v>177</v>
      </c>
      <c r="D13" s="10">
        <v>2</v>
      </c>
      <c r="E13" s="16">
        <v>2</v>
      </c>
      <c r="F13" s="16"/>
      <c r="G13" s="16"/>
      <c r="H13" s="16"/>
      <c r="I13" s="16"/>
      <c r="J13" s="16"/>
      <c r="K13" s="82"/>
    </row>
    <row r="14" spans="2:11">
      <c r="B14" s="80">
        <v>14</v>
      </c>
      <c r="C14" s="83" t="s">
        <v>178</v>
      </c>
      <c r="D14" s="10">
        <v>2</v>
      </c>
      <c r="E14" s="16"/>
      <c r="F14" s="16">
        <v>2</v>
      </c>
      <c r="G14" s="16"/>
      <c r="H14" s="16"/>
      <c r="I14" s="16"/>
      <c r="J14" s="16"/>
      <c r="K14" s="82"/>
    </row>
    <row r="15" spans="2:11">
      <c r="B15" s="80">
        <v>15</v>
      </c>
      <c r="C15" s="83" t="s">
        <v>179</v>
      </c>
      <c r="D15" s="10">
        <v>2</v>
      </c>
      <c r="E15" s="16"/>
      <c r="F15" s="16"/>
      <c r="G15" s="16">
        <v>2</v>
      </c>
      <c r="H15" s="16"/>
      <c r="I15" s="16"/>
      <c r="J15" s="16"/>
      <c r="K15" s="82"/>
    </row>
    <row r="16" spans="2:11">
      <c r="B16" s="80">
        <v>16</v>
      </c>
      <c r="C16" s="83" t="s">
        <v>180</v>
      </c>
      <c r="D16" s="10">
        <v>2</v>
      </c>
      <c r="E16" s="16">
        <v>2</v>
      </c>
      <c r="F16" s="16"/>
      <c r="G16" s="16"/>
      <c r="H16" s="16"/>
      <c r="I16" s="16"/>
      <c r="J16" s="16"/>
      <c r="K16" s="82"/>
    </row>
    <row r="17" spans="2:12">
      <c r="B17" s="80">
        <v>17</v>
      </c>
      <c r="C17" s="83" t="s">
        <v>181</v>
      </c>
      <c r="D17" s="10">
        <v>2</v>
      </c>
      <c r="E17" s="16"/>
      <c r="F17" s="16">
        <v>2</v>
      </c>
      <c r="G17" s="16"/>
      <c r="H17" s="16"/>
      <c r="I17" s="16"/>
      <c r="J17" s="16"/>
      <c r="K17" s="82"/>
    </row>
    <row r="18" spans="2:12">
      <c r="B18" s="80">
        <v>18</v>
      </c>
      <c r="C18" s="83" t="s">
        <v>182</v>
      </c>
      <c r="D18" s="10">
        <v>2</v>
      </c>
      <c r="E18" s="16"/>
      <c r="F18" s="16">
        <v>2</v>
      </c>
      <c r="G18" s="16"/>
      <c r="H18" s="16"/>
      <c r="I18" s="16"/>
      <c r="J18" s="16"/>
      <c r="K18" s="82"/>
    </row>
    <row r="19" spans="2:12">
      <c r="B19" s="80">
        <v>19</v>
      </c>
      <c r="C19" s="83" t="s">
        <v>183</v>
      </c>
      <c r="D19" s="10">
        <v>2</v>
      </c>
      <c r="E19" s="16">
        <v>2</v>
      </c>
      <c r="F19" s="16"/>
      <c r="G19" s="16"/>
      <c r="H19" s="16"/>
      <c r="I19" s="16"/>
      <c r="J19" s="16"/>
      <c r="K19" s="82"/>
    </row>
    <row r="20" spans="2:12" ht="15" customHeight="1">
      <c r="B20" s="105" t="s">
        <v>68</v>
      </c>
      <c r="C20" s="105"/>
      <c r="D20" s="31">
        <v>0</v>
      </c>
      <c r="E20" s="76">
        <f>SUM(E6:E19)</f>
        <v>6</v>
      </c>
      <c r="F20" s="76">
        <f>SUM(F6:F19)</f>
        <v>8</v>
      </c>
      <c r="G20" s="76">
        <f>SUM(G6:G19)</f>
        <v>7</v>
      </c>
      <c r="H20" s="76">
        <f>SUM(H6:H19)</f>
        <v>5</v>
      </c>
      <c r="I20" s="76">
        <f>SUM(I6:I19)</f>
        <v>6</v>
      </c>
      <c r="J20" s="76">
        <f>SUM(J6:J19)</f>
        <v>4</v>
      </c>
      <c r="K20" s="84">
        <f>SUM(K6:K19)</f>
        <v>0</v>
      </c>
      <c r="L20" s="7"/>
    </row>
    <row r="21" spans="2:12" ht="15.75" customHeight="1">
      <c r="B21" s="106" t="s">
        <v>69</v>
      </c>
      <c r="C21" s="106"/>
      <c r="D21" s="32">
        <f>SUM(D6:D20)</f>
        <v>52</v>
      </c>
      <c r="E21" s="33">
        <f>D21-SUM(E6:E19)</f>
        <v>46</v>
      </c>
      <c r="F21" s="33">
        <f>E21-SUM(F6:F19)</f>
        <v>38</v>
      </c>
      <c r="G21" s="33">
        <f>F21-SUM(G6:G19)</f>
        <v>31</v>
      </c>
      <c r="H21" s="33">
        <f>G21-SUM(H6:H19)</f>
        <v>26</v>
      </c>
      <c r="I21" s="33">
        <f>H21-SUM(I6:I19)</f>
        <v>20</v>
      </c>
      <c r="J21" s="33">
        <f>I21-SUM(J6:J19)</f>
        <v>16</v>
      </c>
      <c r="K21" s="85">
        <f>J21-SUM(K6:K19)</f>
        <v>16</v>
      </c>
    </row>
    <row r="22" spans="2:12" ht="15.75" customHeight="1">
      <c r="B22" s="107" t="s">
        <v>70</v>
      </c>
      <c r="C22" s="107"/>
      <c r="D22" s="36">
        <f>D21</f>
        <v>52</v>
      </c>
      <c r="E22" s="37">
        <f>$D$22-($D$22/7*1)</f>
        <v>44.571428571428569</v>
      </c>
      <c r="F22" s="38">
        <f>$D$22-($D$22/7*2)</f>
        <v>37.142857142857139</v>
      </c>
      <c r="G22" s="38">
        <f>$D$22-($D$22/7*3)</f>
        <v>29.714285714285715</v>
      </c>
      <c r="H22" s="38">
        <f>$D$22-($D$22/7*4)</f>
        <v>22.285714285714285</v>
      </c>
      <c r="I22" s="38">
        <f>$D$22-($D$22/7*5)</f>
        <v>14.857142857142854</v>
      </c>
      <c r="J22" s="38">
        <f>$D$22-($D$22/7*6)</f>
        <v>7.4285714285714306</v>
      </c>
      <c r="K22" s="39">
        <f>$D$22-($D$22/7*7)</f>
        <v>0</v>
      </c>
    </row>
    <row r="23" spans="2:12" ht="15.75" customHeight="1"/>
    <row r="24" spans="2:12" ht="15.75" customHeight="1"/>
    <row r="25" spans="2:12" ht="15.75" customHeight="1"/>
    <row r="26" spans="2:12" ht="15.75" customHeight="1"/>
    <row r="27" spans="2:12" ht="15.75" customHeight="1"/>
    <row r="28" spans="2:12" ht="15.75" customHeight="1"/>
    <row r="29" spans="2:12" ht="15.75" customHeight="1"/>
    <row r="30" spans="2:12" ht="15.75" customHeight="1"/>
    <row r="31" spans="2:12" ht="15.75" customHeight="1"/>
    <row r="32" spans="2:1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B20:C20"/>
    <mergeCell ref="B21:C21"/>
    <mergeCell ref="B22:C22"/>
    <mergeCell ref="B2:K2"/>
    <mergeCell ref="B3:K3"/>
    <mergeCell ref="B4:B5"/>
    <mergeCell ref="C4:C5"/>
    <mergeCell ref="D4:D5"/>
  </mergeCells>
  <pageMargins left="0.7" right="0.7" top="0.75" bottom="0.75" header="0.511811023622047" footer="0.511811023622047"/>
  <pageSetup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L1000"/>
  <sheetViews>
    <sheetView topLeftCell="C1" zoomScale="80" zoomScaleNormal="80" workbookViewId="0">
      <selection activeCell="C1" sqref="C1"/>
    </sheetView>
  </sheetViews>
  <sheetFormatPr defaultColWidth="14.42578125" defaultRowHeight="15"/>
  <cols>
    <col min="1" max="1" width="9" customWidth="1"/>
    <col min="2" max="2" width="7.140625" customWidth="1"/>
    <col min="3" max="3" width="73.140625" customWidth="1"/>
    <col min="4" max="4" width="15.5703125" customWidth="1"/>
    <col min="5" max="11" width="10" customWidth="1"/>
    <col min="12" max="26" width="9" customWidth="1"/>
  </cols>
  <sheetData>
    <row r="2" spans="2:12" ht="24.4">
      <c r="B2" s="121" t="s">
        <v>184</v>
      </c>
      <c r="C2" s="121"/>
      <c r="D2" s="121"/>
      <c r="E2" s="121"/>
      <c r="F2" s="121"/>
      <c r="G2" s="121"/>
      <c r="H2" s="121"/>
      <c r="I2" s="121"/>
      <c r="J2" s="121"/>
      <c r="K2" s="121"/>
    </row>
    <row r="3" spans="2:12">
      <c r="B3" s="122"/>
      <c r="C3" s="122"/>
      <c r="D3" s="122"/>
      <c r="E3" s="122"/>
      <c r="F3" s="122"/>
      <c r="G3" s="122"/>
      <c r="H3" s="122"/>
      <c r="I3" s="122"/>
      <c r="J3" s="122"/>
      <c r="K3" s="122"/>
    </row>
    <row r="4" spans="2:12" ht="13.5" customHeight="1">
      <c r="B4" s="110" t="s">
        <v>1</v>
      </c>
      <c r="C4" s="111" t="s">
        <v>2</v>
      </c>
      <c r="D4" s="123" t="s">
        <v>3</v>
      </c>
      <c r="E4" s="3">
        <v>45942</v>
      </c>
      <c r="F4" s="3">
        <v>45943</v>
      </c>
      <c r="G4" s="3">
        <v>45944</v>
      </c>
      <c r="H4" s="3">
        <v>45945</v>
      </c>
      <c r="I4" s="3">
        <v>45946</v>
      </c>
      <c r="J4" s="3">
        <v>45947</v>
      </c>
      <c r="K4" s="3">
        <v>45948</v>
      </c>
    </row>
    <row r="5" spans="2:12">
      <c r="B5" s="110"/>
      <c r="C5" s="111"/>
      <c r="D5" s="111"/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</row>
    <row r="6" spans="2:12">
      <c r="B6" s="80">
        <v>20</v>
      </c>
      <c r="C6" s="81" t="s">
        <v>54</v>
      </c>
      <c r="D6" s="10">
        <v>6</v>
      </c>
      <c r="E6" s="16"/>
      <c r="F6" s="16">
        <v>2</v>
      </c>
      <c r="G6" s="16">
        <v>1</v>
      </c>
      <c r="H6" s="16">
        <v>2</v>
      </c>
      <c r="I6" s="16">
        <v>1</v>
      </c>
      <c r="J6" s="16"/>
      <c r="K6" s="82"/>
    </row>
    <row r="7" spans="2:12">
      <c r="B7" s="80">
        <v>21</v>
      </c>
      <c r="C7" s="81" t="s">
        <v>55</v>
      </c>
      <c r="D7" s="10">
        <v>6</v>
      </c>
      <c r="E7" s="16"/>
      <c r="F7" s="16"/>
      <c r="G7" s="16"/>
      <c r="H7" s="16"/>
      <c r="I7" s="16"/>
      <c r="J7" s="16">
        <v>1</v>
      </c>
      <c r="K7" s="82">
        <v>2</v>
      </c>
    </row>
    <row r="8" spans="2:12">
      <c r="B8" s="80">
        <v>22</v>
      </c>
      <c r="C8" s="83" t="s">
        <v>56</v>
      </c>
      <c r="D8" s="10">
        <v>6</v>
      </c>
      <c r="E8" s="16"/>
      <c r="F8" s="16"/>
      <c r="G8" s="16">
        <v>1</v>
      </c>
      <c r="H8" s="16">
        <v>2</v>
      </c>
      <c r="I8" s="16">
        <v>1</v>
      </c>
      <c r="J8" s="16"/>
      <c r="K8" s="82">
        <v>2</v>
      </c>
    </row>
    <row r="9" spans="2:12">
      <c r="B9" s="80">
        <v>23</v>
      </c>
      <c r="C9" s="83" t="s">
        <v>57</v>
      </c>
      <c r="D9" s="10">
        <v>6</v>
      </c>
      <c r="E9" s="16"/>
      <c r="F9" s="16"/>
      <c r="G9" s="16"/>
      <c r="H9" s="16"/>
      <c r="I9" s="16"/>
      <c r="J9" s="16">
        <v>1</v>
      </c>
      <c r="K9" s="82">
        <v>1</v>
      </c>
    </row>
    <row r="10" spans="2:12">
      <c r="B10" s="80">
        <v>24</v>
      </c>
      <c r="C10" s="83" t="s">
        <v>58</v>
      </c>
      <c r="D10" s="10">
        <v>6</v>
      </c>
      <c r="E10" s="16"/>
      <c r="F10" s="16"/>
      <c r="G10" s="16"/>
      <c r="H10" s="16"/>
      <c r="I10" s="16">
        <v>1</v>
      </c>
      <c r="J10" s="16">
        <v>2</v>
      </c>
      <c r="K10" s="82"/>
    </row>
    <row r="11" spans="2:12">
      <c r="B11" s="80">
        <v>25</v>
      </c>
      <c r="C11" s="15" t="s">
        <v>59</v>
      </c>
      <c r="D11" s="10">
        <v>2</v>
      </c>
      <c r="E11" s="16"/>
      <c r="F11" s="16"/>
      <c r="G11" s="16"/>
      <c r="H11" s="16"/>
      <c r="I11" s="16"/>
      <c r="J11" s="16"/>
      <c r="K11" s="82">
        <v>2</v>
      </c>
    </row>
    <row r="12" spans="2:12">
      <c r="B12" s="80">
        <v>7</v>
      </c>
      <c r="C12" s="83" t="s">
        <v>41</v>
      </c>
      <c r="D12" s="10">
        <v>8</v>
      </c>
      <c r="E12" s="16"/>
      <c r="F12" s="16"/>
      <c r="G12" s="16"/>
      <c r="H12" s="16">
        <v>1</v>
      </c>
      <c r="I12" s="16"/>
      <c r="J12" s="16">
        <v>3</v>
      </c>
      <c r="K12" s="82">
        <v>4</v>
      </c>
    </row>
    <row r="13" spans="2:12">
      <c r="B13" s="80">
        <v>9</v>
      </c>
      <c r="C13" s="83" t="s">
        <v>43</v>
      </c>
      <c r="D13" s="10">
        <v>8</v>
      </c>
      <c r="E13" s="16"/>
      <c r="F13" s="16"/>
      <c r="G13" s="16"/>
      <c r="H13" s="16"/>
      <c r="I13" s="16">
        <v>3</v>
      </c>
      <c r="J13" s="16">
        <v>3</v>
      </c>
      <c r="K13" s="82">
        <v>2</v>
      </c>
    </row>
    <row r="14" spans="2:12" ht="15" customHeight="1">
      <c r="B14" s="105" t="s">
        <v>68</v>
      </c>
      <c r="C14" s="105"/>
      <c r="D14" s="31">
        <v>0</v>
      </c>
      <c r="E14" s="84">
        <f>SUM(E6:E13)</f>
        <v>0</v>
      </c>
      <c r="F14" s="86">
        <f>SUM(F6:F13)</f>
        <v>2</v>
      </c>
      <c r="G14" s="86">
        <f>SUM(G6:G13)</f>
        <v>2</v>
      </c>
      <c r="H14" s="86">
        <f>SUM(H6:H13)</f>
        <v>5</v>
      </c>
      <c r="I14" s="86">
        <f>SUM(I6:I13)</f>
        <v>6</v>
      </c>
      <c r="J14" s="86">
        <f>SUM(J6:J13)</f>
        <v>10</v>
      </c>
      <c r="K14" s="86">
        <f>SUM(K6:K13)</f>
        <v>13</v>
      </c>
      <c r="L14" s="7"/>
    </row>
    <row r="15" spans="2:12">
      <c r="B15" s="106" t="s">
        <v>69</v>
      </c>
      <c r="C15" s="106"/>
      <c r="D15" s="32">
        <f>SUM(D6:D13)</f>
        <v>48</v>
      </c>
      <c r="E15" s="87">
        <f>D15-SUM(E6:E13)</f>
        <v>48</v>
      </c>
      <c r="F15" s="87">
        <f>E15-SUM(F6:F13)</f>
        <v>46</v>
      </c>
      <c r="G15" s="87">
        <f>F15-SUM(G6:G13)</f>
        <v>44</v>
      </c>
      <c r="H15" s="87">
        <f>G15-SUM(H6:H13)</f>
        <v>39</v>
      </c>
      <c r="I15" s="87">
        <f>H15-SUM(I6:I13)</f>
        <v>33</v>
      </c>
      <c r="J15" s="87">
        <f>I15-SUM(J6:J13)</f>
        <v>23</v>
      </c>
      <c r="K15" s="87">
        <f>J15-SUM(K6:K13)</f>
        <v>10</v>
      </c>
    </row>
    <row r="16" spans="2:12">
      <c r="B16" s="107" t="s">
        <v>70</v>
      </c>
      <c r="C16" s="107"/>
      <c r="D16" s="36">
        <f>D15</f>
        <v>48</v>
      </c>
      <c r="E16" s="88">
        <f>$D$16-($D$16/7*1)</f>
        <v>41.142857142857146</v>
      </c>
      <c r="F16" s="88">
        <f>$D$16-($D$16/7*2)</f>
        <v>34.285714285714285</v>
      </c>
      <c r="G16" s="88">
        <f>$D$16-($D$16/7*3)</f>
        <v>27.428571428571431</v>
      </c>
      <c r="H16" s="88">
        <f>$D$16-($D$16/7*4)</f>
        <v>20.571428571428573</v>
      </c>
      <c r="I16" s="88">
        <f>$D$16-($D$16/7*5)</f>
        <v>13.714285714285715</v>
      </c>
      <c r="J16" s="88">
        <f>$D$16-($D$16/7*6)</f>
        <v>6.8571428571428612</v>
      </c>
      <c r="K16" s="88">
        <f>$D$16-($D$16/7*7)</f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B14:C14"/>
    <mergeCell ref="B15:C15"/>
    <mergeCell ref="B16:C16"/>
    <mergeCell ref="B2:K2"/>
    <mergeCell ref="B3:K3"/>
    <mergeCell ref="B4:B5"/>
    <mergeCell ref="C4:C5"/>
    <mergeCell ref="D4:D5"/>
  </mergeCells>
  <pageMargins left="0.7" right="0.7" top="0.75" bottom="0.75" header="0.511811023622047" footer="0.511811023622047"/>
  <pageSetup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L1000"/>
  <sheetViews>
    <sheetView zoomScale="80" zoomScaleNormal="80" workbookViewId="0"/>
  </sheetViews>
  <sheetFormatPr defaultColWidth="14.42578125" defaultRowHeight="15"/>
  <cols>
    <col min="1" max="1" width="9" customWidth="1"/>
    <col min="2" max="2" width="7.140625" customWidth="1"/>
    <col min="3" max="3" width="73.140625" customWidth="1"/>
    <col min="4" max="4" width="15.5703125" customWidth="1"/>
    <col min="5" max="11" width="10" customWidth="1"/>
    <col min="12" max="26" width="9" customWidth="1"/>
  </cols>
  <sheetData>
    <row r="1" spans="2:12" ht="13.5" customHeight="1"/>
    <row r="2" spans="2:12" ht="13.5" customHeight="1">
      <c r="B2" s="121" t="s">
        <v>185</v>
      </c>
      <c r="C2" s="121"/>
      <c r="D2" s="121"/>
      <c r="E2" s="121"/>
      <c r="F2" s="121"/>
      <c r="G2" s="121"/>
      <c r="H2" s="121"/>
      <c r="I2" s="121"/>
      <c r="J2" s="121"/>
      <c r="K2" s="121"/>
    </row>
    <row r="3" spans="2:12" ht="13.5" customHeight="1">
      <c r="B3" s="122"/>
      <c r="C3" s="122"/>
      <c r="D3" s="122"/>
      <c r="E3" s="122"/>
      <c r="F3" s="122"/>
      <c r="G3" s="122"/>
      <c r="H3" s="122"/>
      <c r="I3" s="122"/>
      <c r="J3" s="122"/>
      <c r="K3" s="122"/>
    </row>
    <row r="4" spans="2:12" ht="13.5" customHeight="1">
      <c r="B4" s="110" t="s">
        <v>1</v>
      </c>
      <c r="C4" s="111" t="s">
        <v>2</v>
      </c>
      <c r="D4" s="123" t="s">
        <v>3</v>
      </c>
      <c r="E4" s="3">
        <v>45942</v>
      </c>
      <c r="F4" s="3">
        <v>45943</v>
      </c>
      <c r="G4" s="3">
        <v>45944</v>
      </c>
      <c r="H4" s="3">
        <v>45945</v>
      </c>
      <c r="I4" s="3">
        <v>45946</v>
      </c>
      <c r="J4" s="3">
        <v>45947</v>
      </c>
      <c r="K4" s="3">
        <v>45948</v>
      </c>
    </row>
    <row r="5" spans="2:12" ht="13.5" customHeight="1">
      <c r="B5" s="110"/>
      <c r="C5" s="111"/>
      <c r="D5" s="111"/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</row>
    <row r="6" spans="2:12" ht="13.5" customHeight="1">
      <c r="B6" s="80">
        <v>21</v>
      </c>
      <c r="C6" s="81" t="s">
        <v>55</v>
      </c>
      <c r="D6" s="10">
        <v>3</v>
      </c>
      <c r="E6" s="16"/>
      <c r="F6" s="16"/>
      <c r="G6" s="16"/>
      <c r="H6" s="16"/>
      <c r="I6" s="16"/>
      <c r="J6" s="16"/>
      <c r="K6" s="82"/>
    </row>
    <row r="7" spans="2:12" ht="13.5" customHeight="1">
      <c r="B7" s="80">
        <v>23</v>
      </c>
      <c r="C7" s="81" t="s">
        <v>57</v>
      </c>
      <c r="D7" s="10">
        <v>4</v>
      </c>
      <c r="E7" s="16"/>
      <c r="F7" s="16"/>
      <c r="G7" s="16"/>
      <c r="H7" s="16"/>
      <c r="I7" s="16"/>
      <c r="J7" s="16"/>
      <c r="K7" s="82"/>
    </row>
    <row r="8" spans="2:12" ht="13.5" customHeight="1">
      <c r="B8" s="80">
        <v>24</v>
      </c>
      <c r="C8" s="83" t="s">
        <v>58</v>
      </c>
      <c r="D8" s="10">
        <v>3</v>
      </c>
      <c r="E8" s="16"/>
      <c r="F8" s="16"/>
      <c r="G8" s="16"/>
      <c r="H8" s="16"/>
      <c r="I8" s="16"/>
      <c r="J8" s="16"/>
      <c r="K8" s="82"/>
    </row>
    <row r="9" spans="2:12" ht="13.5" customHeight="1">
      <c r="B9" s="80">
        <v>26</v>
      </c>
      <c r="C9" s="83" t="s">
        <v>60</v>
      </c>
      <c r="D9" s="10">
        <v>6</v>
      </c>
      <c r="E9" s="16"/>
      <c r="F9" s="16"/>
      <c r="G9" s="16"/>
      <c r="H9" s="16"/>
      <c r="I9" s="16"/>
      <c r="J9" s="16"/>
      <c r="K9" s="82"/>
    </row>
    <row r="10" spans="2:12" ht="13.5" customHeight="1">
      <c r="B10" s="80">
        <v>27</v>
      </c>
      <c r="C10" s="83" t="s">
        <v>61</v>
      </c>
      <c r="D10" s="10">
        <v>6</v>
      </c>
      <c r="E10" s="16"/>
      <c r="F10" s="16"/>
      <c r="G10" s="16"/>
      <c r="H10" s="16"/>
      <c r="I10" s="16"/>
      <c r="J10" s="16"/>
      <c r="K10" s="82"/>
    </row>
    <row r="11" spans="2:12" ht="13.5" customHeight="1">
      <c r="B11" s="80">
        <v>28</v>
      </c>
      <c r="C11" s="15" t="s">
        <v>62</v>
      </c>
      <c r="D11" s="10">
        <v>8</v>
      </c>
      <c r="E11" s="16"/>
      <c r="F11" s="16"/>
      <c r="G11" s="16"/>
      <c r="H11" s="16"/>
      <c r="I11" s="16"/>
      <c r="J11" s="16"/>
      <c r="K11" s="82"/>
    </row>
    <row r="12" spans="2:12" ht="13.5" customHeight="1">
      <c r="B12" s="80">
        <v>29</v>
      </c>
      <c r="C12" s="83" t="s">
        <v>63</v>
      </c>
      <c r="D12" s="10">
        <v>6</v>
      </c>
      <c r="E12" s="16"/>
      <c r="F12" s="16"/>
      <c r="G12" s="16"/>
      <c r="H12" s="16"/>
      <c r="I12" s="16"/>
      <c r="J12" s="16"/>
      <c r="K12" s="82"/>
    </row>
    <row r="13" spans="2:12" ht="13.5" customHeight="1">
      <c r="B13" s="80">
        <v>30</v>
      </c>
      <c r="C13" s="83" t="s">
        <v>64</v>
      </c>
      <c r="D13" s="10">
        <v>6</v>
      </c>
      <c r="E13" s="16"/>
      <c r="F13" s="16"/>
      <c r="G13" s="16"/>
      <c r="H13" s="16"/>
      <c r="I13" s="16"/>
      <c r="J13" s="16"/>
      <c r="K13" s="82"/>
    </row>
    <row r="14" spans="2:12" ht="13.5" customHeight="1">
      <c r="B14" s="80">
        <v>31</v>
      </c>
      <c r="C14" s="83" t="s">
        <v>65</v>
      </c>
      <c r="D14" s="10">
        <v>8</v>
      </c>
      <c r="E14" s="16"/>
      <c r="F14" s="16"/>
      <c r="G14" s="16"/>
      <c r="H14" s="16"/>
      <c r="I14" s="16"/>
      <c r="J14" s="16"/>
      <c r="K14" s="82"/>
    </row>
    <row r="15" spans="2:12" ht="13.5" customHeight="1">
      <c r="B15" s="80">
        <v>32</v>
      </c>
      <c r="C15" s="83" t="s">
        <v>66</v>
      </c>
      <c r="D15" s="10">
        <v>1</v>
      </c>
      <c r="E15" s="16"/>
      <c r="F15" s="16"/>
      <c r="G15" s="16"/>
      <c r="H15" s="16"/>
      <c r="I15" s="16"/>
      <c r="J15" s="16"/>
      <c r="K15" s="82"/>
    </row>
    <row r="16" spans="2:12" ht="15" customHeight="1">
      <c r="B16" s="105" t="s">
        <v>68</v>
      </c>
      <c r="C16" s="105"/>
      <c r="D16" s="31">
        <v>0</v>
      </c>
      <c r="E16" s="84">
        <f>SUM(E6:E15)</f>
        <v>0</v>
      </c>
      <c r="F16" s="86">
        <f>SUM(F6:F15)</f>
        <v>0</v>
      </c>
      <c r="G16" s="86">
        <f>SUM(G6:G15)</f>
        <v>0</v>
      </c>
      <c r="H16" s="86">
        <f>SUM(H6:H15)</f>
        <v>0</v>
      </c>
      <c r="I16" s="86">
        <f>SUM(I6:I15)</f>
        <v>0</v>
      </c>
      <c r="J16" s="86">
        <f>SUM(J6:J15)</f>
        <v>0</v>
      </c>
      <c r="K16" s="86">
        <f>SUM(K6:K15)</f>
        <v>0</v>
      </c>
      <c r="L16" s="7"/>
    </row>
    <row r="17" spans="2:11" ht="13.5" customHeight="1">
      <c r="B17" s="106" t="s">
        <v>69</v>
      </c>
      <c r="C17" s="106"/>
      <c r="D17" s="32">
        <f>SUM(D6:D15)</f>
        <v>51</v>
      </c>
      <c r="E17" s="87">
        <f>D17-SUM(E6:E15)</f>
        <v>51</v>
      </c>
      <c r="F17" s="87">
        <f>E17-SUM(F6:F15)</f>
        <v>51</v>
      </c>
      <c r="G17" s="87">
        <f>F17-SUM(G6:G15)</f>
        <v>51</v>
      </c>
      <c r="H17" s="87">
        <f>G17-SUM(H6:H15)</f>
        <v>51</v>
      </c>
      <c r="I17" s="87">
        <f>H17-SUM(I6:I15)</f>
        <v>51</v>
      </c>
      <c r="J17" s="87">
        <f>I17-SUM(J6:J15)</f>
        <v>51</v>
      </c>
      <c r="K17" s="87">
        <f>J17-SUM(K6:K15)</f>
        <v>51</v>
      </c>
    </row>
    <row r="18" spans="2:11" ht="13.5" customHeight="1">
      <c r="B18" s="107" t="s">
        <v>70</v>
      </c>
      <c r="C18" s="107"/>
      <c r="D18" s="36">
        <f>D17</f>
        <v>51</v>
      </c>
      <c r="E18" s="88">
        <f>$D$18-($D$18/7*1)</f>
        <v>43.714285714285715</v>
      </c>
      <c r="F18" s="88">
        <f>$D$18-($D$18/7*2)</f>
        <v>36.428571428571431</v>
      </c>
      <c r="G18" s="88">
        <f>$D$18-($D$18/7*3)</f>
        <v>29.142857142857142</v>
      </c>
      <c r="H18" s="88">
        <f>$D$18-($D$18/7*4)</f>
        <v>21.857142857142858</v>
      </c>
      <c r="I18" s="88">
        <f>$D$18-($D$18/7*5)</f>
        <v>14.571428571428569</v>
      </c>
      <c r="J18" s="88">
        <f>$D$18-($D$18/7*6)</f>
        <v>7.2857142857142847</v>
      </c>
      <c r="K18" s="88">
        <f>$D$18-($D$18/7*7)</f>
        <v>0</v>
      </c>
    </row>
    <row r="19" spans="2:11" ht="13.5" customHeight="1"/>
    <row r="20" spans="2:11" ht="13.5" customHeight="1"/>
    <row r="21" spans="2:11" ht="13.5" customHeight="1"/>
    <row r="22" spans="2:11" ht="13.5" customHeight="1"/>
    <row r="23" spans="2:11" ht="13.5" customHeight="1"/>
    <row r="24" spans="2:11" ht="13.5" customHeight="1"/>
    <row r="25" spans="2:11" ht="13.5" customHeight="1"/>
    <row r="26" spans="2:11" ht="13.5" customHeight="1"/>
    <row r="27" spans="2:11" ht="13.5" customHeight="1"/>
    <row r="28" spans="2:11" ht="13.5" customHeight="1"/>
    <row r="29" spans="2:11" ht="13.5" customHeight="1"/>
    <row r="30" spans="2:11" ht="13.5" customHeight="1"/>
    <row r="31" spans="2:11" ht="13.5" customHeight="1"/>
    <row r="32" spans="2:11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8">
    <mergeCell ref="B16:C16"/>
    <mergeCell ref="B17:C17"/>
    <mergeCell ref="B18:C18"/>
    <mergeCell ref="B2:K2"/>
    <mergeCell ref="B3:K3"/>
    <mergeCell ref="B4:B5"/>
    <mergeCell ref="C4:C5"/>
    <mergeCell ref="D4:D5"/>
  </mergeCells>
  <pageMargins left="0.7" right="0.7" top="0.75" bottom="0.75" header="0.511811023622047" footer="0.511811023622047"/>
  <pageSetup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4:C1000"/>
  <sheetViews>
    <sheetView zoomScale="80" zoomScaleNormal="80" workbookViewId="0"/>
  </sheetViews>
  <sheetFormatPr defaultColWidth="14.42578125" defaultRowHeight="15"/>
  <cols>
    <col min="1" max="26" width="10.5703125" customWidth="1"/>
  </cols>
  <sheetData>
    <row r="4" spans="3:3">
      <c r="C4" s="7" t="s">
        <v>186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2</cp:revision>
  <dcterms:created xsi:type="dcterms:W3CDTF">2025-11-07T13:57:39Z</dcterms:created>
  <dcterms:modified xsi:type="dcterms:W3CDTF">2025-11-29T18:06:37Z</dcterms:modified>
  <cp:category/>
  <cp:contentStatus/>
</cp:coreProperties>
</file>