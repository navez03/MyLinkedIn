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c6a02674ee7adc4/Ambiente de Trabalho/"/>
    </mc:Choice>
  </mc:AlternateContent>
  <xr:revisionPtr revIDLastSave="202" documentId="8_{E05B4A38-F349-43D1-A624-249BBE63B030}" xr6:coauthVersionLast="47" xr6:coauthVersionMax="47" xr10:uidLastSave="{1FE31B8E-D6C9-42F9-87AF-F2F2F04ADC8B}"/>
  <bookViews>
    <workbookView xWindow="-108" yWindow="-108" windowWidth="23256" windowHeight="12456" activeTab="1" xr2:uid="{00000000-000D-0000-FFFF-FFFF00000000}"/>
  </bookViews>
  <sheets>
    <sheet name="Burndown Chart Sprint1" sheetId="1" r:id="rId1"/>
    <sheet name="Burndown Chart Sprint 2" sheetId="8" r:id="rId2"/>
    <sheet name="Task Dependecies" sheetId="6" r:id="rId3"/>
    <sheet name="Burndown Chart s1" sheetId="2" r:id="rId4"/>
    <sheet name="Burndown Chart s2" sheetId="3" r:id="rId5"/>
    <sheet name="Burndown Chart s3" sheetId="4" r:id="rId6"/>
    <sheet name="Burndown Chart s4" sheetId="5" r:id="rId7"/>
    <sheet name="Gant Chart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6" l="1"/>
  <c r="H39" i="6"/>
  <c r="H36" i="6"/>
  <c r="H37" i="6"/>
  <c r="H38" i="6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AK41" i="8"/>
  <c r="AL41" i="8"/>
  <c r="AM41" i="8"/>
  <c r="AN41" i="8"/>
  <c r="AO41" i="8"/>
  <c r="AP41" i="8"/>
  <c r="D42" i="8"/>
  <c r="E42" i="8" s="1"/>
  <c r="J41" i="8"/>
  <c r="I41" i="8"/>
  <c r="H41" i="8"/>
  <c r="G41" i="8"/>
  <c r="F41" i="8"/>
  <c r="E41" i="8"/>
  <c r="Z42" i="1"/>
  <c r="W42" i="1"/>
  <c r="X41" i="1"/>
  <c r="S42" i="1"/>
  <c r="P42" i="1"/>
  <c r="I42" i="1"/>
  <c r="H42" i="1"/>
  <c r="G42" i="1"/>
  <c r="F42" i="1"/>
  <c r="E42" i="1"/>
  <c r="M41" i="1"/>
  <c r="L41" i="1"/>
  <c r="H35" i="6"/>
  <c r="H34" i="6"/>
  <c r="H33" i="6"/>
  <c r="H32" i="6"/>
  <c r="H31" i="6"/>
  <c r="H30" i="6"/>
  <c r="H29" i="6"/>
  <c r="H26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D17" i="5"/>
  <c r="K16" i="5"/>
  <c r="J16" i="5"/>
  <c r="I16" i="5"/>
  <c r="H16" i="5"/>
  <c r="G16" i="5"/>
  <c r="F16" i="5"/>
  <c r="E16" i="5"/>
  <c r="D15" i="4"/>
  <c r="K14" i="4"/>
  <c r="J14" i="4"/>
  <c r="I14" i="4"/>
  <c r="H14" i="4"/>
  <c r="G14" i="4"/>
  <c r="F14" i="4"/>
  <c r="E14" i="4"/>
  <c r="D21" i="3"/>
  <c r="K20" i="3"/>
  <c r="J20" i="3"/>
  <c r="I20" i="3"/>
  <c r="H20" i="3"/>
  <c r="G20" i="3"/>
  <c r="F20" i="3"/>
  <c r="E20" i="3"/>
  <c r="D12" i="2"/>
  <c r="K11" i="2"/>
  <c r="J11" i="2"/>
  <c r="I11" i="2"/>
  <c r="H11" i="2"/>
  <c r="G11" i="2"/>
  <c r="F11" i="2"/>
  <c r="E11" i="2"/>
  <c r="D42" i="1"/>
  <c r="AG41" i="1"/>
  <c r="AF41" i="1"/>
  <c r="AE41" i="1"/>
  <c r="AD41" i="1"/>
  <c r="AC41" i="1"/>
  <c r="AB41" i="1"/>
  <c r="AA41" i="1"/>
  <c r="Z41" i="1"/>
  <c r="Y41" i="1"/>
  <c r="W41" i="1"/>
  <c r="V41" i="1"/>
  <c r="U41" i="1"/>
  <c r="T41" i="1"/>
  <c r="S41" i="1"/>
  <c r="R41" i="1"/>
  <c r="Q41" i="1"/>
  <c r="P41" i="1"/>
  <c r="O41" i="1"/>
  <c r="N41" i="1"/>
  <c r="K41" i="1"/>
  <c r="J41" i="1"/>
  <c r="I41" i="1"/>
  <c r="H41" i="1"/>
  <c r="G41" i="1"/>
  <c r="F41" i="1"/>
  <c r="E41" i="1"/>
  <c r="D43" i="8" l="1"/>
  <c r="F42" i="8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AH42" i="8" s="1"/>
  <c r="AI42" i="8" s="1"/>
  <c r="AJ42" i="8" s="1"/>
  <c r="AK42" i="8" s="1"/>
  <c r="AL42" i="8" s="1"/>
  <c r="AM42" i="8" s="1"/>
  <c r="AN42" i="8" s="1"/>
  <c r="AO42" i="8" s="1"/>
  <c r="AP42" i="8" s="1"/>
  <c r="D43" i="1"/>
  <c r="J42" i="1"/>
  <c r="K42" i="1" s="1"/>
  <c r="L42" i="1" s="1"/>
  <c r="M42" i="1" s="1"/>
  <c r="N42" i="1" s="1"/>
  <c r="O42" i="1" s="1"/>
  <c r="Q42" i="1" s="1"/>
  <c r="R42" i="1" s="1"/>
  <c r="T42" i="1" s="1"/>
  <c r="U42" i="1" s="1"/>
  <c r="V42" i="1" s="1"/>
  <c r="X42" i="1" s="1"/>
  <c r="Y42" i="1" s="1"/>
  <c r="AA42" i="1" s="1"/>
  <c r="AB42" i="1" s="1"/>
  <c r="AC42" i="1" s="1"/>
  <c r="AD42" i="1" s="1"/>
  <c r="D13" i="2"/>
  <c r="E12" i="2"/>
  <c r="F12" i="2" s="1"/>
  <c r="G12" i="2" s="1"/>
  <c r="H12" i="2" s="1"/>
  <c r="I12" i="2" s="1"/>
  <c r="J12" i="2" s="1"/>
  <c r="K12" i="2" s="1"/>
  <c r="D22" i="3"/>
  <c r="E21" i="3"/>
  <c r="F21" i="3" s="1"/>
  <c r="G21" i="3" s="1"/>
  <c r="H21" i="3" s="1"/>
  <c r="I21" i="3" s="1"/>
  <c r="J21" i="3" s="1"/>
  <c r="K21" i="3" s="1"/>
  <c r="D16" i="4"/>
  <c r="E15" i="4"/>
  <c r="F15" i="4" s="1"/>
  <c r="G15" i="4" s="1"/>
  <c r="H15" i="4" s="1"/>
  <c r="I15" i="4" s="1"/>
  <c r="J15" i="4" s="1"/>
  <c r="K15" i="4" s="1"/>
  <c r="D18" i="5"/>
  <c r="E17" i="5"/>
  <c r="F17" i="5" s="1"/>
  <c r="G17" i="5" s="1"/>
  <c r="H17" i="5" s="1"/>
  <c r="I17" i="5" s="1"/>
  <c r="J17" i="5" s="1"/>
  <c r="K17" i="5" s="1"/>
  <c r="AO43" i="8" l="1"/>
  <c r="AN43" i="8"/>
  <c r="AM43" i="8"/>
  <c r="AE43" i="8"/>
  <c r="W43" i="8"/>
  <c r="O43" i="8"/>
  <c r="G43" i="8"/>
  <c r="AD43" i="8"/>
  <c r="V43" i="8"/>
  <c r="N43" i="8"/>
  <c r="F43" i="8"/>
  <c r="AC43" i="8"/>
  <c r="U43" i="8"/>
  <c r="M43" i="8"/>
  <c r="E43" i="8"/>
  <c r="AB43" i="8"/>
  <c r="T43" i="8"/>
  <c r="L43" i="8"/>
  <c r="AL43" i="8"/>
  <c r="AK43" i="8"/>
  <c r="AJ43" i="8"/>
  <c r="AI43" i="8"/>
  <c r="AA43" i="8"/>
  <c r="S43" i="8"/>
  <c r="K43" i="8"/>
  <c r="AP43" i="8"/>
  <c r="AH43" i="8"/>
  <c r="Z43" i="8"/>
  <c r="R43" i="8"/>
  <c r="I43" i="8"/>
  <c r="AG43" i="8"/>
  <c r="Y43" i="8"/>
  <c r="Q43" i="8"/>
  <c r="J43" i="8"/>
  <c r="AF43" i="8"/>
  <c r="X43" i="8"/>
  <c r="P43" i="8"/>
  <c r="H43" i="8"/>
  <c r="AE42" i="1"/>
  <c r="AF42" i="1" s="1"/>
  <c r="AG42" i="1" s="1"/>
  <c r="K18" i="5"/>
  <c r="J18" i="5"/>
  <c r="I18" i="5"/>
  <c r="H18" i="5"/>
  <c r="G18" i="5"/>
  <c r="F18" i="5"/>
  <c r="E18" i="5"/>
  <c r="K16" i="4"/>
  <c r="J16" i="4"/>
  <c r="I16" i="4"/>
  <c r="H16" i="4"/>
  <c r="G16" i="4"/>
  <c r="F16" i="4"/>
  <c r="E16" i="4"/>
  <c r="K22" i="3"/>
  <c r="J22" i="3"/>
  <c r="I22" i="3"/>
  <c r="H22" i="3"/>
  <c r="G22" i="3"/>
  <c r="F22" i="3"/>
  <c r="E22" i="3"/>
  <c r="K13" i="2"/>
  <c r="J13" i="2"/>
  <c r="I13" i="2"/>
  <c r="H13" i="2"/>
  <c r="G13" i="2"/>
  <c r="F13" i="2"/>
  <c r="E13" i="2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</calcChain>
</file>

<file path=xl/sharedStrings.xml><?xml version="1.0" encoding="utf-8"?>
<sst xmlns="http://schemas.openxmlformats.org/spreadsheetml/2006/main" count="369" uniqueCount="179">
  <si>
    <t>First Sprint Burndown Chart</t>
  </si>
  <si>
    <t>Task ID</t>
  </si>
  <si>
    <t>Task Description</t>
  </si>
  <si>
    <t>Initial Estimate time (Hours)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</si>
  <si>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</si>
  <si>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</si>
  <si>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</si>
  <si>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</si>
  <si>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</si>
  <si>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</si>
  <si>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</si>
  <si>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</si>
  <si>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</si>
  <si>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</si>
  <si>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</si>
  <si>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</si>
  <si>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</si>
  <si>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</si>
  <si>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</si>
  <si>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</si>
  <si>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</si>
  <si>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</si>
  <si>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</si>
  <si>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</si>
  <si>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</si>
  <si>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</si>
  <si>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</si>
  <si>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</si>
  <si>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</si>
  <si>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</si>
  <si>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</si>
  <si>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</si>
  <si>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</si>
  <si>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1 day = 2/3 horas de trabalho max</t>
  </si>
  <si>
    <t>BPMN Register Account</t>
  </si>
  <si>
    <t>BPMN Post Content</t>
  </si>
  <si>
    <t xml:space="preserve">NOTA: adicionar horas das tarefas das outras pessoas, fazer este preenchimento das horas na última reunião da semana </t>
  </si>
  <si>
    <t>BPMN Get Notifications</t>
  </si>
  <si>
    <t>BPMN Adicionar Contacto</t>
  </si>
  <si>
    <t>BPMN Send a Message</t>
  </si>
  <si>
    <t xml:space="preserve">Frontend Adicionar User </t>
  </si>
  <si>
    <t>Frontend Adicionar Contacto</t>
  </si>
  <si>
    <t xml:space="preserve">Backend Adicionar User </t>
  </si>
  <si>
    <t>Backend Adicionar Contacto</t>
  </si>
  <si>
    <t>BPMN Interact with Posts</t>
  </si>
  <si>
    <t>BPMN Add Skill</t>
  </si>
  <si>
    <t>BPMN Search Posts/People</t>
  </si>
  <si>
    <t>BPMN Create and Reply to Listing</t>
  </si>
  <si>
    <t>BPMN Create and Interact with Events</t>
  </si>
  <si>
    <t>BPMN Create Groups</t>
  </si>
  <si>
    <t>BPMN Discover Groups</t>
  </si>
  <si>
    <t>BPMN AI Assistant</t>
  </si>
  <si>
    <t>BPMN Post CV with anonymous reviews</t>
  </si>
  <si>
    <t>BPMN Send GIFs in the comments</t>
  </si>
  <si>
    <t>Functional Requirements – Task 2, 10, 11</t>
  </si>
  <si>
    <t>Functional Requirements – Task 1, 16, 17</t>
  </si>
  <si>
    <t>Functional Requirements – Task 3, 18, 19</t>
  </si>
  <si>
    <t>Functional Requirements – Task 4, 12, 13</t>
  </si>
  <si>
    <t>Functional Requirements da Task 5, 14, 15</t>
  </si>
  <si>
    <t>Non-Functional Requirements</t>
  </si>
  <si>
    <t>Frontend Enviar Mensagem</t>
  </si>
  <si>
    <t>Frontend Notificações</t>
  </si>
  <si>
    <t>Frontend Criar Post</t>
  </si>
  <si>
    <t>Backend Enviar Mensagem</t>
  </si>
  <si>
    <t>Backend Notificações</t>
  </si>
  <si>
    <t>Backend Criar Post</t>
  </si>
  <si>
    <t>Criação do Gant Chart</t>
  </si>
  <si>
    <t xml:space="preserve"> BPMN Main Process</t>
  </si>
  <si>
    <t>Completed Effort</t>
  </si>
  <si>
    <t>Remaining Effort</t>
  </si>
  <si>
    <t>Ideal Burndown</t>
  </si>
  <si>
    <t xml:space="preserve">
</t>
  </si>
  <si>
    <t>Second Sprint Burndown Chart</t>
  </si>
  <si>
    <t>"10/Nov/25"</t>
  </si>
  <si>
    <t>"11/Nov/25"</t>
  </si>
  <si>
    <t>"12/Nov/25"</t>
  </si>
  <si>
    <t>"13/Nov/25"</t>
  </si>
  <si>
    <t>"14/Nov/25"</t>
  </si>
  <si>
    <t>"15/Nov/25"</t>
  </si>
  <si>
    <t>"16/Nov/25"</t>
  </si>
  <si>
    <t>"17/Nov/25"</t>
  </si>
  <si>
    <t>"18/Nov/25"</t>
  </si>
  <si>
    <t>"19/Nov/25"</t>
  </si>
  <si>
    <t>"20/Nov/25"</t>
  </si>
  <si>
    <t>"21/Nov/25"</t>
  </si>
  <si>
    <t>"22/Nov/25"</t>
  </si>
  <si>
    <t>"23/Nov/25"</t>
  </si>
  <si>
    <t>"24/Nov/25"</t>
  </si>
  <si>
    <t>"25/Nov/25"</t>
  </si>
  <si>
    <t>"26/Nov/25"</t>
  </si>
  <si>
    <t>"27/Nov/25"</t>
  </si>
  <si>
    <t>"28/Nov/25"</t>
  </si>
  <si>
    <t>"29/Nov/25"</t>
  </si>
  <si>
    <t>"30/Nov/25"</t>
  </si>
  <si>
    <t>"1/Dez/25"</t>
  </si>
  <si>
    <t>"2/Dez/25"</t>
  </si>
  <si>
    <t>"3/Dez/25"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</si>
  <si>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</si>
  <si>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</si>
  <si>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</si>
  <si>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</si>
  <si>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</si>
  <si>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</si>
  <si>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</si>
  <si>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</si>
  <si>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</si>
  <si>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TASK DEPENDENCIES</t>
  </si>
  <si>
    <t>NOTA: Quero retificar o tempo que demoramos em cada tarefa, apesar de demorar uma semana tudo porque vamos fazendo as duas tarefas em simultâneo, deviamos por exemplo dizer que na semana 2 demoramos 3 dias a fazer o BPMN e depois os outros 4 dias a fazer a tarefa de começar a implementar</t>
  </si>
  <si>
    <t>TaskID</t>
  </si>
  <si>
    <t xml:space="preserve">Task Name </t>
  </si>
  <si>
    <t>Dependecy</t>
  </si>
  <si>
    <t>Duration (Days)</t>
  </si>
  <si>
    <t>Responsável</t>
  </si>
  <si>
    <t>Task Start</t>
  </si>
  <si>
    <t>Task End</t>
  </si>
  <si>
    <t>TECNOLOGIAS: react, node.js, supabase</t>
  </si>
  <si>
    <t>-</t>
  </si>
  <si>
    <t>Francisco Mendes</t>
  </si>
  <si>
    <t>Beatriz</t>
  </si>
  <si>
    <t>NOTA: Chega colocar a duração e a data de inicio que o final da tarefa é preenchido automático</t>
  </si>
  <si>
    <t>Vicente</t>
  </si>
  <si>
    <t>Francisco Jorge</t>
  </si>
  <si>
    <t xml:space="preserve">Daniel </t>
  </si>
  <si>
    <t>Task 1</t>
  </si>
  <si>
    <t>Vicente, Daniel</t>
  </si>
  <si>
    <t>Task 4, 6</t>
  </si>
  <si>
    <t>Beatriz, Francisco Jorge, Francisco Mendes</t>
  </si>
  <si>
    <t>Task 4, 8</t>
  </si>
  <si>
    <t>Functional Requirements da Task 2, 10, 11</t>
  </si>
  <si>
    <t>Task 2, 10, 11</t>
  </si>
  <si>
    <t>Functional Requirements da Task 1, 16, 17</t>
  </si>
  <si>
    <t>Task 1, 16, 17</t>
  </si>
  <si>
    <t>Functional Requirements da Task 3, 18, 19</t>
  </si>
  <si>
    <t>Task 3, 18, 19</t>
  </si>
  <si>
    <t>Functional Requirements da Task 4, 12, 13</t>
  </si>
  <si>
    <t>Task 4, 12, 13</t>
  </si>
  <si>
    <t>Task 5, 14, 15</t>
  </si>
  <si>
    <t>Todos</t>
  </si>
  <si>
    <t>Frontend Messages</t>
  </si>
  <si>
    <t>Task 6, 7</t>
  </si>
  <si>
    <t>Frontend Notifications</t>
  </si>
  <si>
    <t xml:space="preserve">- </t>
  </si>
  <si>
    <t>Frontend Posts</t>
  </si>
  <si>
    <t>Task 6</t>
  </si>
  <si>
    <t>Backend Messages</t>
  </si>
  <si>
    <t>Task 8, 9</t>
  </si>
  <si>
    <t>Backend Notifications</t>
  </si>
  <si>
    <t>Backend Posts</t>
  </si>
  <si>
    <t>BPMN Main Process</t>
  </si>
  <si>
    <t>Semana1 Burndown Chart</t>
  </si>
  <si>
    <t>BPMN Register Accout</t>
  </si>
  <si>
    <t>BPMN get notification</t>
  </si>
  <si>
    <t>Semana2 Burndown Chart</t>
  </si>
  <si>
    <t>BPMN interagir posts</t>
  </si>
  <si>
    <t>BPMN colocar competências</t>
  </si>
  <si>
    <t>BPMN pesquisar posts ou contas</t>
  </si>
  <si>
    <t>BPMN create and reply listing</t>
  </si>
  <si>
    <t>BPMN criar ver e interagir com eventos</t>
  </si>
  <si>
    <t>BPMN criar grupos</t>
  </si>
  <si>
    <t>BPMN Descobrir novos grupos</t>
  </si>
  <si>
    <t>BPMN falar com AI…</t>
  </si>
  <si>
    <t>BPMN fazer post do teu CV anonymous</t>
  </si>
  <si>
    <t>BPMN mandar gif nos comentários</t>
  </si>
  <si>
    <t>Semana3 Burndown Chart</t>
  </si>
  <si>
    <t>Semana4 Burndown Chart</t>
  </si>
  <si>
    <t>NOTA: Fazer baseado na tabela das task dependecies, podemos fazer no fim</t>
  </si>
  <si>
    <t>Fix BPMNs</t>
  </si>
  <si>
    <t>Use Case Diagram</t>
  </si>
  <si>
    <t>Backend Interact With Posts</t>
  </si>
  <si>
    <t>Backend Manage Events</t>
  </si>
  <si>
    <t>Backend Seach Posts</t>
  </si>
  <si>
    <t>Backend AI Agent</t>
  </si>
  <si>
    <t>Frontend Seach Posts</t>
  </si>
  <si>
    <t>Frontend Manage Events</t>
  </si>
  <si>
    <t>Frontend AI Agent</t>
  </si>
  <si>
    <t>Backend and Frontend Avatars</t>
  </si>
  <si>
    <t>Gant Chart</t>
  </si>
  <si>
    <t xml:space="preserve">Backend Register User </t>
  </si>
  <si>
    <t>Task 1,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</si>
</sst>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/yy"/>
    <numFmt numFmtId="165" formatCode="0.0"/>
    <numFmt numFmtId="166" formatCode="d\-mmm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20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8"/>
      <color theme="1"/>
      <name val="Calibri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  <fill>
      <patternFill patternType="solid">
        <fgColor rgb="FFE2EFD9"/>
        <bgColor rgb="FFE2EFD9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4" fillId="0" borderId="5" xfId="0" applyFont="1" applyBorder="1"/>
    <xf numFmtId="164" fontId="5" fillId="3" borderId="9" xfId="0" applyNumberFormat="1" applyFont="1" applyFill="1" applyBorder="1" applyAlignment="1">
      <alignment horizontal="center"/>
    </xf>
    <xf numFmtId="164" fontId="5" fillId="3" borderId="10" xfId="0" applyNumberFormat="1" applyFont="1" applyFill="1" applyBorder="1" applyAlignment="1">
      <alignment horizontal="center"/>
    </xf>
    <xf numFmtId="164" fontId="5" fillId="3" borderId="11" xfId="0" applyNumberFormat="1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4" fillId="0" borderId="0" xfId="0" applyFont="1"/>
    <xf numFmtId="0" fontId="4" fillId="4" borderId="9" xfId="0" applyFont="1" applyFill="1" applyBorder="1"/>
    <xf numFmtId="0" fontId="4" fillId="4" borderId="10" xfId="0" applyFont="1" applyFill="1" applyBorder="1"/>
    <xf numFmtId="0" fontId="4" fillId="5" borderId="18" xfId="0" applyFont="1" applyFill="1" applyBorder="1" applyAlignment="1">
      <alignment horizontal="center"/>
    </xf>
    <xf numFmtId="0" fontId="4" fillId="6" borderId="19" xfId="0" applyFont="1" applyFill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4" fillId="4" borderId="21" xfId="0" applyFont="1" applyFill="1" applyBorder="1"/>
    <xf numFmtId="0" fontId="4" fillId="4" borderId="22" xfId="0" applyFont="1" applyFill="1" applyBorder="1"/>
    <xf numFmtId="0" fontId="4" fillId="6" borderId="21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4" borderId="19" xfId="0" applyFont="1" applyFill="1" applyBorder="1"/>
    <xf numFmtId="0" fontId="4" fillId="6" borderId="22" xfId="0" applyFont="1" applyFill="1" applyBorder="1"/>
    <xf numFmtId="0" fontId="4" fillId="6" borderId="23" xfId="0" applyFont="1" applyFill="1" applyBorder="1"/>
    <xf numFmtId="0" fontId="4" fillId="4" borderId="24" xfId="0" applyFont="1" applyFill="1" applyBorder="1"/>
    <xf numFmtId="0" fontId="4" fillId="6" borderId="22" xfId="0" applyFont="1" applyFill="1" applyBorder="1" applyAlignment="1">
      <alignment horizontal="center"/>
    </xf>
    <xf numFmtId="0" fontId="4" fillId="6" borderId="25" xfId="0" applyFont="1" applyFill="1" applyBorder="1" applyAlignment="1">
      <alignment horizontal="center"/>
    </xf>
    <xf numFmtId="0" fontId="4" fillId="6" borderId="23" xfId="0" applyFont="1" applyFill="1" applyBorder="1" applyAlignment="1">
      <alignment horizontal="center"/>
    </xf>
    <xf numFmtId="0" fontId="4" fillId="6" borderId="26" xfId="0" applyFont="1" applyFill="1" applyBorder="1" applyAlignment="1">
      <alignment horizontal="center"/>
    </xf>
    <xf numFmtId="0" fontId="4" fillId="7" borderId="28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4" fillId="8" borderId="31" xfId="0" applyFont="1" applyFill="1" applyBorder="1" applyAlignment="1">
      <alignment horizontal="center"/>
    </xf>
    <xf numFmtId="165" fontId="4" fillId="8" borderId="21" xfId="0" applyNumberFormat="1" applyFont="1" applyFill="1" applyBorder="1" applyAlignment="1">
      <alignment horizontal="center"/>
    </xf>
    <xf numFmtId="165" fontId="4" fillId="8" borderId="22" xfId="0" applyNumberFormat="1" applyFont="1" applyFill="1" applyBorder="1" applyAlignment="1">
      <alignment horizontal="center"/>
    </xf>
    <xf numFmtId="165" fontId="4" fillId="8" borderId="18" xfId="0" applyNumberFormat="1" applyFont="1" applyFill="1" applyBorder="1" applyAlignment="1">
      <alignment horizontal="center"/>
    </xf>
    <xf numFmtId="0" fontId="4" fillId="9" borderId="34" xfId="0" applyFont="1" applyFill="1" applyBorder="1" applyAlignment="1">
      <alignment horizontal="center"/>
    </xf>
    <xf numFmtId="165" fontId="4" fillId="9" borderId="15" xfId="0" applyNumberFormat="1" applyFont="1" applyFill="1" applyBorder="1" applyAlignment="1">
      <alignment horizontal="center"/>
    </xf>
    <xf numFmtId="165" fontId="4" fillId="9" borderId="16" xfId="0" applyNumberFormat="1" applyFont="1" applyFill="1" applyBorder="1" applyAlignment="1">
      <alignment horizontal="center"/>
    </xf>
    <xf numFmtId="165" fontId="4" fillId="9" borderId="17" xfId="0" applyNumberFormat="1" applyFont="1" applyFill="1" applyBorder="1" applyAlignment="1">
      <alignment horizontal="center"/>
    </xf>
    <xf numFmtId="0" fontId="4" fillId="0" borderId="0" xfId="0" applyFont="1" applyAlignment="1">
      <alignment wrapText="1"/>
    </xf>
    <xf numFmtId="0" fontId="4" fillId="7" borderId="36" xfId="0" applyFont="1" applyFill="1" applyBorder="1" applyAlignment="1">
      <alignment horizontal="center"/>
    </xf>
    <xf numFmtId="165" fontId="4" fillId="8" borderId="20" xfId="0" applyNumberFormat="1" applyFont="1" applyFill="1" applyBorder="1" applyAlignment="1">
      <alignment horizontal="center"/>
    </xf>
    <xf numFmtId="0" fontId="4" fillId="4" borderId="21" xfId="0" applyFont="1" applyFill="1" applyBorder="1" applyAlignment="1">
      <alignment horizontal="right" wrapText="1"/>
    </xf>
    <xf numFmtId="0" fontId="4" fillId="4" borderId="22" xfId="0" applyFont="1" applyFill="1" applyBorder="1" applyAlignment="1">
      <alignment wrapText="1"/>
    </xf>
    <xf numFmtId="0" fontId="4" fillId="6" borderId="37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left" wrapText="1"/>
    </xf>
    <xf numFmtId="0" fontId="4" fillId="7" borderId="38" xfId="0" applyFont="1" applyFill="1" applyBorder="1" applyAlignment="1">
      <alignment horizontal="center"/>
    </xf>
    <xf numFmtId="0" fontId="4" fillId="7" borderId="39" xfId="0" applyFont="1" applyFill="1" applyBorder="1" applyAlignment="1">
      <alignment horizontal="center"/>
    </xf>
    <xf numFmtId="165" fontId="4" fillId="8" borderId="37" xfId="0" applyNumberFormat="1" applyFont="1" applyFill="1" applyBorder="1" applyAlignment="1">
      <alignment horizontal="center"/>
    </xf>
    <xf numFmtId="165" fontId="4" fillId="9" borderId="40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4" borderId="10" xfId="0" applyFont="1" applyFill="1" applyBorder="1" applyAlignment="1">
      <alignment horizontal="center"/>
    </xf>
    <xf numFmtId="166" fontId="4" fillId="4" borderId="10" xfId="0" applyNumberFormat="1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7" fillId="0" borderId="0" xfId="0" applyFont="1"/>
    <xf numFmtId="0" fontId="4" fillId="6" borderId="21" xfId="0" applyFont="1" applyFill="1" applyBorder="1"/>
    <xf numFmtId="166" fontId="4" fillId="6" borderId="22" xfId="0" applyNumberFormat="1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 vertical="top" wrapText="1"/>
    </xf>
    <xf numFmtId="0" fontId="4" fillId="6" borderId="22" xfId="0" applyFont="1" applyFill="1" applyBorder="1" applyAlignment="1">
      <alignment horizontal="center" wrapText="1"/>
    </xf>
    <xf numFmtId="0" fontId="4" fillId="6" borderId="48" xfId="0" applyFont="1" applyFill="1" applyBorder="1"/>
    <xf numFmtId="166" fontId="4" fillId="6" borderId="23" xfId="0" applyNumberFormat="1" applyFont="1" applyFill="1" applyBorder="1" applyAlignment="1">
      <alignment horizontal="center"/>
    </xf>
    <xf numFmtId="0" fontId="4" fillId="4" borderId="48" xfId="0" applyFont="1" applyFill="1" applyBorder="1"/>
    <xf numFmtId="166" fontId="4" fillId="4" borderId="22" xfId="0" applyNumberFormat="1" applyFont="1" applyFill="1" applyBorder="1" applyAlignment="1">
      <alignment horizontal="center"/>
    </xf>
    <xf numFmtId="0" fontId="4" fillId="0" borderId="21" xfId="0" applyFont="1" applyBorder="1"/>
    <xf numFmtId="0" fontId="4" fillId="0" borderId="22" xfId="0" applyFont="1" applyBorder="1"/>
    <xf numFmtId="0" fontId="4" fillId="0" borderId="22" xfId="0" applyFont="1" applyBorder="1" applyAlignment="1">
      <alignment horizontal="center"/>
    </xf>
    <xf numFmtId="166" fontId="4" fillId="0" borderId="22" xfId="0" applyNumberFormat="1" applyFont="1" applyBorder="1" applyAlignment="1">
      <alignment horizontal="center"/>
    </xf>
    <xf numFmtId="166" fontId="4" fillId="0" borderId="47" xfId="0" applyNumberFormat="1" applyFont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4" fillId="6" borderId="30" xfId="0" applyFont="1" applyFill="1" applyBorder="1" applyAlignment="1">
      <alignment horizontal="center"/>
    </xf>
    <xf numFmtId="0" fontId="4" fillId="0" borderId="24" xfId="0" applyFont="1" applyBorder="1"/>
    <xf numFmtId="0" fontId="4" fillId="0" borderId="49" xfId="0" applyFont="1" applyBorder="1"/>
    <xf numFmtId="0" fontId="0" fillId="0" borderId="50" xfId="0" applyBorder="1"/>
    <xf numFmtId="0" fontId="4" fillId="6" borderId="47" xfId="0" applyFont="1" applyFill="1" applyBorder="1" applyAlignment="1">
      <alignment horizontal="center"/>
    </xf>
    <xf numFmtId="0" fontId="4" fillId="5" borderId="47" xfId="0" applyFont="1" applyFill="1" applyBorder="1" applyAlignment="1">
      <alignment horizontal="center"/>
    </xf>
    <xf numFmtId="166" fontId="4" fillId="4" borderId="47" xfId="0" applyNumberFormat="1" applyFont="1" applyFill="1" applyBorder="1" applyAlignment="1">
      <alignment horizontal="center"/>
    </xf>
    <xf numFmtId="0" fontId="4" fillId="0" borderId="44" xfId="0" applyFont="1" applyBorder="1"/>
    <xf numFmtId="165" fontId="4" fillId="8" borderId="47" xfId="0" applyNumberFormat="1" applyFont="1" applyFill="1" applyBorder="1" applyAlignment="1">
      <alignment horizontal="center"/>
    </xf>
    <xf numFmtId="0" fontId="5" fillId="7" borderId="27" xfId="0" applyFont="1" applyFill="1" applyBorder="1" applyAlignment="1">
      <alignment horizontal="center" wrapText="1"/>
    </xf>
    <xf numFmtId="0" fontId="3" fillId="0" borderId="36" xfId="0" applyFont="1" applyBorder="1"/>
    <xf numFmtId="0" fontId="5" fillId="8" borderId="29" xfId="0" applyFont="1" applyFill="1" applyBorder="1" applyAlignment="1">
      <alignment horizontal="center"/>
    </xf>
    <xf numFmtId="0" fontId="3" fillId="0" borderId="30" xfId="0" applyFont="1" applyBorder="1"/>
    <xf numFmtId="0" fontId="5" fillId="9" borderId="32" xfId="0" applyFont="1" applyFill="1" applyBorder="1" applyAlignment="1">
      <alignment horizontal="center"/>
    </xf>
    <xf numFmtId="0" fontId="3" fillId="0" borderId="33" xfId="0" applyFont="1" applyBorder="1"/>
    <xf numFmtId="0" fontId="2" fillId="2" borderId="1" xfId="0" applyFont="1" applyFill="1" applyBorder="1" applyAlignment="1">
      <alignment horizontal="center"/>
    </xf>
    <xf numFmtId="0" fontId="3" fillId="0" borderId="35" xfId="0" applyFont="1" applyBorder="1"/>
    <xf numFmtId="0" fontId="3" fillId="0" borderId="2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/>
    <xf numFmtId="0" fontId="5" fillId="3" borderId="6" xfId="0" applyFont="1" applyFill="1" applyBorder="1" applyAlignment="1">
      <alignment horizontal="center" vertical="center"/>
    </xf>
    <xf numFmtId="0" fontId="3" fillId="0" borderId="12" xfId="0" applyFont="1" applyBorder="1"/>
    <xf numFmtId="0" fontId="5" fillId="3" borderId="7" xfId="0" applyFont="1" applyFill="1" applyBorder="1" applyAlignment="1">
      <alignment horizontal="center" vertical="center"/>
    </xf>
    <xf numFmtId="0" fontId="3" fillId="0" borderId="13" xfId="0" applyFont="1" applyBorder="1"/>
    <xf numFmtId="0" fontId="5" fillId="3" borderId="8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2" fillId="2" borderId="44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 vertical="center"/>
    </xf>
    <xf numFmtId="0" fontId="3" fillId="0" borderId="44" xfId="0" applyFont="1" applyBorder="1"/>
    <xf numFmtId="0" fontId="4" fillId="11" borderId="42" xfId="0" applyFont="1" applyFill="1" applyBorder="1" applyAlignment="1">
      <alignment horizontal="center" vertical="center"/>
    </xf>
    <xf numFmtId="0" fontId="3" fillId="0" borderId="45" xfId="0" applyFont="1" applyBorder="1"/>
    <xf numFmtId="0" fontId="4" fillId="11" borderId="43" xfId="0" applyFont="1" applyFill="1" applyBorder="1" applyAlignment="1">
      <alignment horizontal="center" vertical="center"/>
    </xf>
    <xf numFmtId="0" fontId="3" fillId="0" borderId="46" xfId="0" applyFont="1" applyBorder="1"/>
    <xf numFmtId="0" fontId="4" fillId="0" borderId="1" xfId="0" applyFont="1" applyBorder="1" applyAlignment="1">
      <alignment horizontal="center"/>
    </xf>
    <xf numFmtId="0" fontId="5" fillId="3" borderId="7" xfId="0" applyFont="1" applyFill="1" applyBorder="1" applyAlignment="1">
      <alignment horizontal="center" vertical="center" wrapText="1"/>
    </xf>
    <xf numFmtId="0" fontId="4" fillId="0" borderId="48" xfId="0" applyFont="1" applyBorder="1"/>
    <xf numFmtId="0" fontId="4" fillId="0" borderId="23" xfId="0" applyFont="1" applyBorder="1"/>
    <xf numFmtId="0" fontId="4" fillId="0" borderId="23" xfId="0" applyFont="1" applyBorder="1" applyAlignment="1">
      <alignment horizontal="center"/>
    </xf>
    <xf numFmtId="166" fontId="4" fillId="0" borderId="23" xfId="0" applyNumberFormat="1" applyFont="1" applyBorder="1" applyAlignment="1">
      <alignment horizontal="center"/>
    </xf>
    <xf numFmtId="0" fontId="0" fillId="0" borderId="51" xfId="0" applyBorder="1"/>
    <xf numFmtId="0" fontId="0" fillId="0" borderId="52" xfId="0" applyBorder="1"/>
    <xf numFmtId="0" fontId="4" fillId="0" borderId="53" xfId="0" applyFont="1" applyBorder="1"/>
    <xf numFmtId="0" fontId="1" fillId="0" borderId="51" xfId="0" applyFont="1" applyBorder="1"/>
    <xf numFmtId="0" fontId="1" fillId="0" borderId="51" xfId="0" applyFont="1" applyBorder="1" applyAlignment="1">
      <alignment horizontal="center"/>
    </xf>
    <xf numFmtId="0" fontId="0" fillId="0" borderId="5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First 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Completed Effort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'Burndown Chart Sprint1'!$C$41:$AG$41</c:f>
              <c:numCache>
                <c:formatCode>General</c:formatCode>
                <c:ptCount val="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7</c:v>
                </c:pt>
                <c:pt idx="6">
                  <c:v>10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7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5</c:v>
                </c:pt>
                <c:pt idx="20">
                  <c:v>6</c:v>
                </c:pt>
                <c:pt idx="21">
                  <c:v>14</c:v>
                </c:pt>
                <c:pt idx="22">
                  <c:v>15</c:v>
                </c:pt>
                <c:pt idx="23">
                  <c:v>15</c:v>
                </c:pt>
                <c:pt idx="24">
                  <c:v>12</c:v>
                </c:pt>
                <c:pt idx="25">
                  <c:v>9</c:v>
                </c:pt>
                <c:pt idx="26">
                  <c:v>9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2DD-4878-B783-8F078BD58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764996"/>
        <c:axId val="96059564"/>
      </c:barChart>
      <c:lineChart>
        <c:grouping val="standard"/>
        <c:varyColors val="1"/>
        <c:ser>
          <c:idx val="1"/>
          <c:order val="1"/>
          <c:tx>
            <c:v>Remaining Effort</c:v>
          </c:tx>
          <c:spPr>
            <a:ln w="28575" cmpd="sng">
              <a:solidFill>
                <a:srgbClr val="00B0F0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'Burndown Chart Sprint1'!$D$42:$AG$42</c:f>
              <c:numCache>
                <c:formatCode>0.0</c:formatCode>
                <c:ptCount val="30"/>
                <c:pt idx="0" formatCode="General">
                  <c:v>156</c:v>
                </c:pt>
                <c:pt idx="1">
                  <c:v>156</c:v>
                </c:pt>
                <c:pt idx="2">
                  <c:v>156</c:v>
                </c:pt>
                <c:pt idx="3">
                  <c:v>151</c:v>
                </c:pt>
                <c:pt idx="4">
                  <c:v>144</c:v>
                </c:pt>
                <c:pt idx="5">
                  <c:v>134</c:v>
                </c:pt>
                <c:pt idx="6">
                  <c:v>130</c:v>
                </c:pt>
                <c:pt idx="7">
                  <c:v>126</c:v>
                </c:pt>
                <c:pt idx="8">
                  <c:v>120</c:v>
                </c:pt>
                <c:pt idx="9">
                  <c:v>112</c:v>
                </c:pt>
                <c:pt idx="10">
                  <c:v>105</c:v>
                </c:pt>
                <c:pt idx="11">
                  <c:v>100</c:v>
                </c:pt>
                <c:pt idx="12">
                  <c:v>94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88</c:v>
                </c:pt>
                <c:pt idx="17">
                  <c:v>86</c:v>
                </c:pt>
                <c:pt idx="18">
                  <c:v>81</c:v>
                </c:pt>
                <c:pt idx="19">
                  <c:v>75</c:v>
                </c:pt>
                <c:pt idx="20">
                  <c:v>61</c:v>
                </c:pt>
                <c:pt idx="21">
                  <c:v>46</c:v>
                </c:pt>
                <c:pt idx="22">
                  <c:v>31</c:v>
                </c:pt>
                <c:pt idx="23">
                  <c:v>19</c:v>
                </c:pt>
                <c:pt idx="24">
                  <c:v>10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DD-4878-B783-8F078BD58AB4}"/>
            </c:ext>
          </c:extLst>
        </c:ser>
        <c:ser>
          <c:idx val="2"/>
          <c:order val="2"/>
          <c:tx>
            <c:v>Ideal Burndown</c:v>
          </c:tx>
          <c:spPr>
            <a:ln w="28575" cmpd="sng">
              <a:solidFill>
                <a:srgbClr val="92D050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'Burndown Chart Sprint1'!$D$43:$AG$43</c:f>
              <c:numCache>
                <c:formatCode>0.0</c:formatCode>
                <c:ptCount val="30"/>
                <c:pt idx="0" formatCode="General">
                  <c:v>156</c:v>
                </c:pt>
                <c:pt idx="1">
                  <c:v>150.62068965517241</c:v>
                </c:pt>
                <c:pt idx="2">
                  <c:v>145.24137931034483</c:v>
                </c:pt>
                <c:pt idx="3">
                  <c:v>139.86206896551724</c:v>
                </c:pt>
                <c:pt idx="4">
                  <c:v>134.48275862068965</c:v>
                </c:pt>
                <c:pt idx="5">
                  <c:v>129.10344827586206</c:v>
                </c:pt>
                <c:pt idx="6">
                  <c:v>123.72413793103448</c:v>
                </c:pt>
                <c:pt idx="7">
                  <c:v>118.34482758620689</c:v>
                </c:pt>
                <c:pt idx="8">
                  <c:v>112.9655172413793</c:v>
                </c:pt>
                <c:pt idx="9">
                  <c:v>107.58620689655172</c:v>
                </c:pt>
                <c:pt idx="10">
                  <c:v>102.20689655172413</c:v>
                </c:pt>
                <c:pt idx="11">
                  <c:v>96.827586206896541</c:v>
                </c:pt>
                <c:pt idx="12">
                  <c:v>91.448275862068968</c:v>
                </c:pt>
                <c:pt idx="13">
                  <c:v>86.068965517241381</c:v>
                </c:pt>
                <c:pt idx="14">
                  <c:v>80.689655172413794</c:v>
                </c:pt>
                <c:pt idx="15">
                  <c:v>75.310344827586206</c:v>
                </c:pt>
                <c:pt idx="16">
                  <c:v>69.931034482758619</c:v>
                </c:pt>
                <c:pt idx="17">
                  <c:v>64.551724137931032</c:v>
                </c:pt>
                <c:pt idx="18">
                  <c:v>59.172413793103445</c:v>
                </c:pt>
                <c:pt idx="19">
                  <c:v>53.793103448275858</c:v>
                </c:pt>
                <c:pt idx="20">
                  <c:v>48.41379310344827</c:v>
                </c:pt>
                <c:pt idx="21">
                  <c:v>43.034482758620683</c:v>
                </c:pt>
                <c:pt idx="22">
                  <c:v>37.655172413793096</c:v>
                </c:pt>
                <c:pt idx="23">
                  <c:v>32.275862068965509</c:v>
                </c:pt>
                <c:pt idx="24">
                  <c:v>26.896551724137936</c:v>
                </c:pt>
                <c:pt idx="25">
                  <c:v>21.517241379310349</c:v>
                </c:pt>
                <c:pt idx="26">
                  <c:v>16.137931034482762</c:v>
                </c:pt>
                <c:pt idx="27">
                  <c:v>10.758620689655174</c:v>
                </c:pt>
                <c:pt idx="28">
                  <c:v>5.3793103448275872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DD-4878-B783-8F078BD58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764996"/>
        <c:axId val="96059564"/>
      </c:lineChart>
      <c:catAx>
        <c:axId val="5217649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059564"/>
        <c:crosses val="autoZero"/>
        <c:auto val="1"/>
        <c:lblAlgn val="ctr"/>
        <c:lblOffset val="100"/>
        <c:noMultiLvlLbl val="1"/>
      </c:catAx>
      <c:valAx>
        <c:axId val="96059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176499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First 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Completed Effort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'Burndown Chart Sprint 2'!$D$41:$AP$41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AB3-4B35-8D60-2D03A44AE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764996"/>
        <c:axId val="96059564"/>
      </c:barChart>
      <c:lineChart>
        <c:grouping val="standard"/>
        <c:varyColors val="1"/>
        <c:ser>
          <c:idx val="1"/>
          <c:order val="1"/>
          <c:tx>
            <c:strRef>
              <c:f>{"Remaining Effort"}</c:f>
              <c:strCache>
                <c:ptCount val="1"/>
                <c:pt idx="0">
                  <c:v>Remaining Effort</c:v>
                </c:pt>
              </c:strCache>
            </c:strRef>
          </c:tx>
          <c:spPr>
            <a:ln>
              <a:solidFill>
                <a:srgbClr val="5B9BD5"/>
              </a:solidFill>
              <a:prstDash val="solid"/>
            </a:ln>
          </c:spPr>
          <c:marker>
            <c:symbol val="none"/>
          </c:marker>
          <c:val>
            <c:numRef>
              <c:f>'Burndown Chart Sprint 2'!$D$42:$AP$42</c:f>
              <c:numCache>
                <c:formatCode>0.0</c:formatCode>
                <c:ptCount val="39"/>
                <c:pt idx="0" formatCode="General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50</c:v>
                </c:pt>
                <c:pt idx="6">
                  <c:v>48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46</c:v>
                </c:pt>
                <c:pt idx="11">
                  <c:v>44</c:v>
                </c:pt>
                <c:pt idx="12">
                  <c:v>42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0C-4261-BEE9-4F248770B865}"/>
            </c:ext>
          </c:extLst>
        </c:ser>
        <c:ser>
          <c:idx val="2"/>
          <c:order val="2"/>
          <c:tx>
            <c:v>Ideal Burndown</c:v>
          </c:tx>
          <c:spPr>
            <a:ln w="28575">
              <a:solidFill>
                <a:srgbClr val="70AD47"/>
              </a:solidFill>
              <a:prstDash val="solid"/>
            </a:ln>
          </c:spPr>
          <c:marker>
            <c:symbol val="none"/>
          </c:marker>
          <c:val>
            <c:numRef>
              <c:f>'Burndown Chart Sprint 2'!$D$43:$AP$43</c:f>
              <c:numCache>
                <c:formatCode>0.0</c:formatCode>
                <c:ptCount val="39"/>
                <c:pt idx="0" formatCode="General">
                  <c:v>52</c:v>
                </c:pt>
                <c:pt idx="1">
                  <c:v>50.631578947368418</c:v>
                </c:pt>
                <c:pt idx="2">
                  <c:v>49.263157894736842</c:v>
                </c:pt>
                <c:pt idx="3">
                  <c:v>47.89473684210526</c:v>
                </c:pt>
                <c:pt idx="4">
                  <c:v>46.526315789473685</c:v>
                </c:pt>
                <c:pt idx="5">
                  <c:v>45.157894736842103</c:v>
                </c:pt>
                <c:pt idx="6">
                  <c:v>43.789473684210527</c:v>
                </c:pt>
                <c:pt idx="7">
                  <c:v>42.421052631578945</c:v>
                </c:pt>
                <c:pt idx="8">
                  <c:v>41.05263157894737</c:v>
                </c:pt>
                <c:pt idx="9">
                  <c:v>39.684210526315788</c:v>
                </c:pt>
                <c:pt idx="10">
                  <c:v>38.315789473684212</c:v>
                </c:pt>
                <c:pt idx="11">
                  <c:v>36.94736842105263</c:v>
                </c:pt>
                <c:pt idx="12">
                  <c:v>35.578947368421055</c:v>
                </c:pt>
                <c:pt idx="13">
                  <c:v>34.210526315789473</c:v>
                </c:pt>
                <c:pt idx="14">
                  <c:v>32.84210526315789</c:v>
                </c:pt>
                <c:pt idx="15">
                  <c:v>31.473684210526315</c:v>
                </c:pt>
                <c:pt idx="16">
                  <c:v>30.105263157894736</c:v>
                </c:pt>
                <c:pt idx="17">
                  <c:v>28.736842105263158</c:v>
                </c:pt>
                <c:pt idx="18">
                  <c:v>27.368421052631579</c:v>
                </c:pt>
                <c:pt idx="19">
                  <c:v>26</c:v>
                </c:pt>
                <c:pt idx="20">
                  <c:v>24.631578947368421</c:v>
                </c:pt>
                <c:pt idx="21">
                  <c:v>23.263157894736842</c:v>
                </c:pt>
                <c:pt idx="22">
                  <c:v>21.894736842105264</c:v>
                </c:pt>
                <c:pt idx="23">
                  <c:v>20.526315789473685</c:v>
                </c:pt>
                <c:pt idx="24">
                  <c:v>19.157894736842103</c:v>
                </c:pt>
                <c:pt idx="25">
                  <c:v>17.789473684210527</c:v>
                </c:pt>
                <c:pt idx="26">
                  <c:v>16.421052631578945</c:v>
                </c:pt>
                <c:pt idx="27">
                  <c:v>15.05263157894737</c:v>
                </c:pt>
                <c:pt idx="28">
                  <c:v>13.684210526315788</c:v>
                </c:pt>
                <c:pt idx="29">
                  <c:v>12.315789473684212</c:v>
                </c:pt>
                <c:pt idx="30">
                  <c:v>10.94736842105263</c:v>
                </c:pt>
                <c:pt idx="31">
                  <c:v>9.5789473684210549</c:v>
                </c:pt>
                <c:pt idx="32">
                  <c:v>8.2105263157894726</c:v>
                </c:pt>
                <c:pt idx="33">
                  <c:v>6.8421052631578902</c:v>
                </c:pt>
                <c:pt idx="34">
                  <c:v>5.473684210526315</c:v>
                </c:pt>
                <c:pt idx="35">
                  <c:v>4.1052631578947327</c:v>
                </c:pt>
                <c:pt idx="36">
                  <c:v>2.7368421052631575</c:v>
                </c:pt>
                <c:pt idx="37">
                  <c:v>1.3684210526315752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B3-4B35-8D60-2D03A44AE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764996"/>
        <c:axId val="96059564"/>
      </c:lineChart>
      <c:catAx>
        <c:axId val="5217649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059564"/>
        <c:crosses val="autoZero"/>
        <c:auto val="1"/>
        <c:lblAlgn val="ctr"/>
        <c:lblOffset val="100"/>
        <c:noMultiLvlLbl val="1"/>
      </c:catAx>
      <c:valAx>
        <c:axId val="96059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176499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pt-PT" sz="1400" b="0" i="0">
                <a:solidFill>
                  <a:srgbClr val="757575"/>
                </a:solidFill>
                <a:latin typeface="Calibri"/>
              </a:rPr>
              <a:t>Semana1 Burndown Chart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Completed Effort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'Burndown Chart s1'!$C$11:$K$11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7</c:v>
                </c:pt>
                <c:pt idx="6">
                  <c:v>10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B3-4A3E-85F9-12B37BE51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7037607"/>
        <c:axId val="829045065"/>
      </c:barChart>
      <c:lineChart>
        <c:grouping val="standard"/>
        <c:varyColors val="1"/>
        <c:ser>
          <c:idx val="1"/>
          <c:order val="1"/>
          <c:tx>
            <c:v>Remaining Effort</c:v>
          </c:tx>
          <c:spPr>
            <a:ln w="28575" cmpd="sng">
              <a:solidFill>
                <a:srgbClr val="00B0F0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'Burndown Chart s1'!$C$12:$K$12</c:f>
              <c:numCache>
                <c:formatCode>General</c:formatCode>
                <c:ptCount val="9"/>
                <c:pt idx="1">
                  <c:v>30</c:v>
                </c:pt>
                <c:pt idx="2" formatCode="0.0">
                  <c:v>30</c:v>
                </c:pt>
                <c:pt idx="3" formatCode="0.0">
                  <c:v>30</c:v>
                </c:pt>
                <c:pt idx="4" formatCode="0.0">
                  <c:v>25</c:v>
                </c:pt>
                <c:pt idx="5" formatCode="0.0">
                  <c:v>18</c:v>
                </c:pt>
                <c:pt idx="6" formatCode="0.0">
                  <c:v>8</c:v>
                </c:pt>
                <c:pt idx="7" formatCode="0.0">
                  <c:v>4</c:v>
                </c:pt>
                <c:pt idx="8" formatCode="0.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B3-4A3E-85F9-12B37BE514C1}"/>
            </c:ext>
          </c:extLst>
        </c:ser>
        <c:ser>
          <c:idx val="2"/>
          <c:order val="2"/>
          <c:tx>
            <c:v>Ideal Burndown</c:v>
          </c:tx>
          <c:spPr>
            <a:ln w="28575" cmpd="sng">
              <a:solidFill>
                <a:srgbClr val="92D050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'Burndown Chart s1'!$C$13:$K$13</c:f>
              <c:numCache>
                <c:formatCode>General</c:formatCode>
                <c:ptCount val="9"/>
                <c:pt idx="1">
                  <c:v>30</c:v>
                </c:pt>
                <c:pt idx="2" formatCode="0.0">
                  <c:v>25.714285714285715</c:v>
                </c:pt>
                <c:pt idx="3" formatCode="0.0">
                  <c:v>21.428571428571431</c:v>
                </c:pt>
                <c:pt idx="4" formatCode="0.0">
                  <c:v>17.142857142857142</c:v>
                </c:pt>
                <c:pt idx="5" formatCode="0.0">
                  <c:v>12.857142857142858</c:v>
                </c:pt>
                <c:pt idx="6" formatCode="0.0">
                  <c:v>8.571428571428573</c:v>
                </c:pt>
                <c:pt idx="7" formatCode="0.0">
                  <c:v>4.2857142857142847</c:v>
                </c:pt>
                <c:pt idx="8" formatCode="0.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B3-4A3E-85F9-12B37BE51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7037607"/>
        <c:axId val="829045065"/>
      </c:lineChart>
      <c:catAx>
        <c:axId val="1367037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9045065"/>
        <c:crosses val="autoZero"/>
        <c:auto val="1"/>
        <c:lblAlgn val="ctr"/>
        <c:lblOffset val="100"/>
        <c:noMultiLvlLbl val="1"/>
      </c:catAx>
      <c:valAx>
        <c:axId val="8290450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6703760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pt-PT" sz="1400" b="0" i="0">
                <a:solidFill>
                  <a:srgbClr val="757575"/>
                </a:solidFill>
                <a:latin typeface="Calibri"/>
              </a:rPr>
              <a:t>Semana2 Burndown Chart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Completed Effort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'Burndown Chart s2'!$C$20:$K$20</c:f>
              <c:numCache>
                <c:formatCode>General</c:formatCode>
                <c:ptCount val="9"/>
                <c:pt idx="1">
                  <c:v>0</c:v>
                </c:pt>
                <c:pt idx="2">
                  <c:v>6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6</c:v>
                </c:pt>
                <c:pt idx="7">
                  <c:v>4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6A3-4130-A3D8-DB45060FA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0144738"/>
        <c:axId val="1800419522"/>
      </c:barChart>
      <c:lineChart>
        <c:grouping val="standard"/>
        <c:varyColors val="1"/>
        <c:ser>
          <c:idx val="1"/>
          <c:order val="1"/>
          <c:tx>
            <c:v>Remaining Effort</c:v>
          </c:tx>
          <c:spPr>
            <a:ln w="28575" cmpd="sng">
              <a:solidFill>
                <a:srgbClr val="00B0F0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'Burndown Chart s2'!$C$21:$K$21</c:f>
              <c:numCache>
                <c:formatCode>General</c:formatCode>
                <c:ptCount val="9"/>
                <c:pt idx="1">
                  <c:v>52</c:v>
                </c:pt>
                <c:pt idx="2" formatCode="0.0">
                  <c:v>46</c:v>
                </c:pt>
                <c:pt idx="3" formatCode="0.0">
                  <c:v>38</c:v>
                </c:pt>
                <c:pt idx="4" formatCode="0.0">
                  <c:v>31</c:v>
                </c:pt>
                <c:pt idx="5" formatCode="0.0">
                  <c:v>26</c:v>
                </c:pt>
                <c:pt idx="6" formatCode="0.0">
                  <c:v>20</c:v>
                </c:pt>
                <c:pt idx="7" formatCode="0.0">
                  <c:v>16</c:v>
                </c:pt>
                <c:pt idx="8" formatCode="0.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A3-4130-A3D8-DB45060FAB80}"/>
            </c:ext>
          </c:extLst>
        </c:ser>
        <c:ser>
          <c:idx val="2"/>
          <c:order val="2"/>
          <c:tx>
            <c:v>Ideal Burndown</c:v>
          </c:tx>
          <c:spPr>
            <a:ln w="28575" cmpd="sng">
              <a:solidFill>
                <a:srgbClr val="92D050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'Burndown Chart s2'!$C$22:$K$22</c:f>
              <c:numCache>
                <c:formatCode>General</c:formatCode>
                <c:ptCount val="9"/>
                <c:pt idx="1">
                  <c:v>52</c:v>
                </c:pt>
                <c:pt idx="2" formatCode="0.0">
                  <c:v>44.571428571428569</c:v>
                </c:pt>
                <c:pt idx="3" formatCode="0.0">
                  <c:v>37.142857142857139</c:v>
                </c:pt>
                <c:pt idx="4" formatCode="0.0">
                  <c:v>29.714285714285715</c:v>
                </c:pt>
                <c:pt idx="5" formatCode="0.0">
                  <c:v>22.285714285714285</c:v>
                </c:pt>
                <c:pt idx="6" formatCode="0.0">
                  <c:v>14.857142857142854</c:v>
                </c:pt>
                <c:pt idx="7" formatCode="0.0">
                  <c:v>7.4285714285714306</c:v>
                </c:pt>
                <c:pt idx="8" formatCode="0.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A3-4130-A3D8-DB45060FA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144738"/>
        <c:axId val="1800419522"/>
      </c:lineChart>
      <c:catAx>
        <c:axId val="1670144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00419522"/>
        <c:crosses val="autoZero"/>
        <c:auto val="1"/>
        <c:lblAlgn val="ctr"/>
        <c:lblOffset val="100"/>
        <c:noMultiLvlLbl val="1"/>
      </c:catAx>
      <c:valAx>
        <c:axId val="1800419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7014473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pt-PT" sz="1400" b="0" i="0">
                <a:solidFill>
                  <a:srgbClr val="757575"/>
                </a:solidFill>
                <a:latin typeface="Calibri"/>
              </a:rPr>
              <a:t>Semana3 Burndown Chart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Completed Effort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'Burndown Chart s3'!$C$14:$K$14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6</c:v>
                </c:pt>
                <c:pt idx="7">
                  <c:v>10</c:v>
                </c:pt>
                <c:pt idx="8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744-4853-A8A5-1061BD1E9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689020"/>
        <c:axId val="2035222534"/>
      </c:barChart>
      <c:lineChart>
        <c:grouping val="standard"/>
        <c:varyColors val="1"/>
        <c:ser>
          <c:idx val="1"/>
          <c:order val="1"/>
          <c:tx>
            <c:v>Remaining Effort</c:v>
          </c:tx>
          <c:spPr>
            <a:ln w="28575" cmpd="sng">
              <a:solidFill>
                <a:srgbClr val="00B0F0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'Burndown Chart s3'!$C$15:$K$15</c:f>
              <c:numCache>
                <c:formatCode>General</c:formatCode>
                <c:ptCount val="9"/>
                <c:pt idx="1">
                  <c:v>48</c:v>
                </c:pt>
                <c:pt idx="2" formatCode="0.0">
                  <c:v>48</c:v>
                </c:pt>
                <c:pt idx="3" formatCode="0.0">
                  <c:v>46</c:v>
                </c:pt>
                <c:pt idx="4" formatCode="0.0">
                  <c:v>44</c:v>
                </c:pt>
                <c:pt idx="5" formatCode="0.0">
                  <c:v>39</c:v>
                </c:pt>
                <c:pt idx="6" formatCode="0.0">
                  <c:v>33</c:v>
                </c:pt>
                <c:pt idx="7" formatCode="0.0">
                  <c:v>23</c:v>
                </c:pt>
                <c:pt idx="8" formatCode="0.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44-4853-A8A5-1061BD1E908C}"/>
            </c:ext>
          </c:extLst>
        </c:ser>
        <c:ser>
          <c:idx val="2"/>
          <c:order val="2"/>
          <c:tx>
            <c:v>Ideal Burndown</c:v>
          </c:tx>
          <c:spPr>
            <a:ln w="28575" cmpd="sng">
              <a:solidFill>
                <a:srgbClr val="92D050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'Burndown Chart s3'!$C$16:$K$16</c:f>
              <c:numCache>
                <c:formatCode>General</c:formatCode>
                <c:ptCount val="9"/>
                <c:pt idx="1">
                  <c:v>48</c:v>
                </c:pt>
                <c:pt idx="2" formatCode="0.0">
                  <c:v>41.142857142857146</c:v>
                </c:pt>
                <c:pt idx="3" formatCode="0.0">
                  <c:v>34.285714285714285</c:v>
                </c:pt>
                <c:pt idx="4" formatCode="0.0">
                  <c:v>27.428571428571431</c:v>
                </c:pt>
                <c:pt idx="5" formatCode="0.0">
                  <c:v>20.571428571428573</c:v>
                </c:pt>
                <c:pt idx="6" formatCode="0.0">
                  <c:v>13.714285714285715</c:v>
                </c:pt>
                <c:pt idx="7" formatCode="0.0">
                  <c:v>6.8571428571428612</c:v>
                </c:pt>
                <c:pt idx="8" formatCode="0.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44-4853-A8A5-1061BD1E9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689020"/>
        <c:axId val="2035222534"/>
      </c:lineChart>
      <c:catAx>
        <c:axId val="95689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35222534"/>
        <c:crosses val="autoZero"/>
        <c:auto val="1"/>
        <c:lblAlgn val="ctr"/>
        <c:lblOffset val="100"/>
        <c:noMultiLvlLbl val="1"/>
      </c:catAx>
      <c:valAx>
        <c:axId val="2035222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68902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pt-PT" sz="1400" b="0" i="0">
                <a:solidFill>
                  <a:srgbClr val="757575"/>
                </a:solidFill>
                <a:latin typeface="Calibri"/>
              </a:rPr>
              <a:t>Semana4 Burndown Chart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Completed Effort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'Burndown Chart s4'!$C$16:$K$16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603-42CD-B61D-602652088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5711147"/>
        <c:axId val="79448044"/>
      </c:barChart>
      <c:lineChart>
        <c:grouping val="standard"/>
        <c:varyColors val="1"/>
        <c:ser>
          <c:idx val="1"/>
          <c:order val="1"/>
          <c:tx>
            <c:v>Remaining Effort</c:v>
          </c:tx>
          <c:spPr>
            <a:ln w="28575" cmpd="sng">
              <a:solidFill>
                <a:srgbClr val="00B0F0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'Burndown Chart s4'!$C$17:$K$17</c:f>
              <c:numCache>
                <c:formatCode>General</c:formatCode>
                <c:ptCount val="9"/>
                <c:pt idx="1">
                  <c:v>51</c:v>
                </c:pt>
                <c:pt idx="2" formatCode="0.0">
                  <c:v>51</c:v>
                </c:pt>
                <c:pt idx="3" formatCode="0.0">
                  <c:v>51</c:v>
                </c:pt>
                <c:pt idx="4" formatCode="0.0">
                  <c:v>51</c:v>
                </c:pt>
                <c:pt idx="5" formatCode="0.0">
                  <c:v>51</c:v>
                </c:pt>
                <c:pt idx="6" formatCode="0.0">
                  <c:v>51</c:v>
                </c:pt>
                <c:pt idx="7" formatCode="0.0">
                  <c:v>51</c:v>
                </c:pt>
                <c:pt idx="8" formatCode="0.0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03-42CD-B61D-602652088424}"/>
            </c:ext>
          </c:extLst>
        </c:ser>
        <c:ser>
          <c:idx val="2"/>
          <c:order val="2"/>
          <c:tx>
            <c:v>Ideal Burndown</c:v>
          </c:tx>
          <c:spPr>
            <a:ln w="28575" cmpd="sng">
              <a:solidFill>
                <a:srgbClr val="92D050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'Burndown Chart s4'!$C$18:$K$18</c:f>
              <c:numCache>
                <c:formatCode>General</c:formatCode>
                <c:ptCount val="9"/>
                <c:pt idx="1">
                  <c:v>51</c:v>
                </c:pt>
                <c:pt idx="2" formatCode="0.0">
                  <c:v>43.714285714285715</c:v>
                </c:pt>
                <c:pt idx="3" formatCode="0.0">
                  <c:v>36.428571428571431</c:v>
                </c:pt>
                <c:pt idx="4" formatCode="0.0">
                  <c:v>29.142857142857142</c:v>
                </c:pt>
                <c:pt idx="5" formatCode="0.0">
                  <c:v>21.857142857142858</c:v>
                </c:pt>
                <c:pt idx="6" formatCode="0.0">
                  <c:v>14.571428571428569</c:v>
                </c:pt>
                <c:pt idx="7" formatCode="0.0">
                  <c:v>7.2857142857142847</c:v>
                </c:pt>
                <c:pt idx="8" formatCode="0.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03-42CD-B61D-602652088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711147"/>
        <c:axId val="79448044"/>
      </c:lineChart>
      <c:catAx>
        <c:axId val="1245711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448044"/>
        <c:crosses val="autoZero"/>
        <c:auto val="1"/>
        <c:lblAlgn val="ctr"/>
        <c:lblOffset val="100"/>
        <c:noMultiLvlLbl val="1"/>
      </c:catAx>
      <c:valAx>
        <c:axId val="79448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4571114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838200</xdr:colOff>
      <xdr:row>45</xdr:row>
      <xdr:rowOff>28575</xdr:rowOff>
    </xdr:from>
    <xdr:ext cx="11449050" cy="598170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838200</xdr:colOff>
      <xdr:row>45</xdr:row>
      <xdr:rowOff>28575</xdr:rowOff>
    </xdr:from>
    <xdr:ext cx="11449050" cy="598170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DB3750FC-DB53-4721-BAEC-FFF9F1F32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466725</xdr:colOff>
      <xdr:row>15</xdr:row>
      <xdr:rowOff>85725</xdr:rowOff>
    </xdr:from>
    <xdr:ext cx="9353550" cy="59817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352425</xdr:colOff>
      <xdr:row>23</xdr:row>
      <xdr:rowOff>161925</xdr:rowOff>
    </xdr:from>
    <xdr:ext cx="9363075" cy="5981700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695325</xdr:colOff>
      <xdr:row>17</xdr:row>
      <xdr:rowOff>152400</xdr:rowOff>
    </xdr:from>
    <xdr:ext cx="9267825" cy="5981700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695325</xdr:colOff>
      <xdr:row>19</xdr:row>
      <xdr:rowOff>152400</xdr:rowOff>
    </xdr:from>
    <xdr:ext cx="9267825" cy="5124450"/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Q1000"/>
  <sheetViews>
    <sheetView topLeftCell="A10" zoomScale="60" workbookViewId="0">
      <selection activeCell="N8" sqref="N8"/>
    </sheetView>
  </sheetViews>
  <sheetFormatPr defaultColWidth="14.44140625" defaultRowHeight="15" customHeight="1" x14ac:dyDescent="0.3"/>
  <cols>
    <col min="1" max="1" width="9" customWidth="1"/>
    <col min="2" max="2" width="7.109375" customWidth="1"/>
    <col min="3" max="3" width="73.109375" customWidth="1"/>
    <col min="4" max="4" width="16.88671875" customWidth="1"/>
    <col min="5" max="11" width="10" customWidth="1"/>
    <col min="12" max="43" width="9" customWidth="1"/>
  </cols>
  <sheetData>
    <row r="1" spans="2:43" ht="13.5" customHeight="1" x14ac:dyDescent="0.3"/>
    <row r="2" spans="2:43" ht="26.25" customHeight="1" x14ac:dyDescent="0.5">
      <c r="B2" s="83" t="s">
        <v>0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5"/>
    </row>
    <row r="3" spans="2:43" ht="13.5" customHeight="1" x14ac:dyDescent="0.3">
      <c r="B3" s="86"/>
      <c r="C3" s="87"/>
      <c r="D3" s="87"/>
      <c r="E3" s="87"/>
      <c r="F3" s="87"/>
      <c r="G3" s="87"/>
      <c r="H3" s="87"/>
      <c r="I3" s="87"/>
      <c r="J3" s="87"/>
      <c r="K3" s="87"/>
      <c r="AG3" s="1"/>
    </row>
    <row r="4" spans="2:43" ht="15" customHeight="1" x14ac:dyDescent="0.3">
      <c r="B4" s="88" t="s">
        <v>1</v>
      </c>
      <c r="C4" s="90" t="s">
        <v>2</v>
      </c>
      <c r="D4" s="92" t="s">
        <v>3</v>
      </c>
      <c r="E4" s="2">
        <v>45928</v>
      </c>
      <c r="F4" s="3">
        <v>45929</v>
      </c>
      <c r="G4" s="3">
        <v>45930</v>
      </c>
      <c r="H4" s="3">
        <v>45931</v>
      </c>
      <c r="I4" s="3">
        <v>45932</v>
      </c>
      <c r="J4" s="3">
        <v>45933</v>
      </c>
      <c r="K4" s="3">
        <v>45934</v>
      </c>
      <c r="L4" s="3">
        <v>45935</v>
      </c>
      <c r="M4" s="3">
        <v>45936</v>
      </c>
      <c r="N4" s="3">
        <v>45937</v>
      </c>
      <c r="O4" s="3">
        <v>45938</v>
      </c>
      <c r="P4" s="3">
        <v>45939</v>
      </c>
      <c r="Q4" s="3">
        <v>45917</v>
      </c>
      <c r="R4" s="3">
        <v>45941</v>
      </c>
      <c r="S4" s="3">
        <v>45942</v>
      </c>
      <c r="T4" s="3">
        <v>45943</v>
      </c>
      <c r="U4" s="3">
        <v>45944</v>
      </c>
      <c r="V4" s="3">
        <v>45945</v>
      </c>
      <c r="W4" s="3">
        <v>45946</v>
      </c>
      <c r="X4" s="3">
        <v>45947</v>
      </c>
      <c r="Y4" s="3">
        <v>45948</v>
      </c>
      <c r="Z4" s="3">
        <v>45949</v>
      </c>
      <c r="AA4" s="3">
        <v>45950</v>
      </c>
      <c r="AB4" s="3">
        <v>45951</v>
      </c>
      <c r="AC4" s="3">
        <v>45952</v>
      </c>
      <c r="AD4" s="3">
        <v>45953</v>
      </c>
      <c r="AE4" s="3">
        <v>45954</v>
      </c>
      <c r="AF4" s="3">
        <v>45955</v>
      </c>
      <c r="AG4" s="4">
        <v>45956</v>
      </c>
    </row>
    <row r="5" spans="2:43" ht="13.5" customHeight="1" x14ac:dyDescent="0.3">
      <c r="B5" s="89"/>
      <c r="C5" s="91"/>
      <c r="D5" s="93"/>
      <c r="E5" s="5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  <c r="O5" s="6" t="s">
        <v>14</v>
      </c>
      <c r="P5" s="6" t="s">
        <v>15</v>
      </c>
      <c r="Q5" s="6" t="s">
        <v>16</v>
      </c>
      <c r="R5" s="6" t="s">
        <v>17</v>
      </c>
      <c r="S5" s="6" t="s">
        <v>18</v>
      </c>
      <c r="T5" s="6" t="s">
        <v>19</v>
      </c>
      <c r="U5" s="6" t="s">
        <v>20</v>
      </c>
      <c r="V5" s="6" t="s">
        <v>21</v>
      </c>
      <c r="W5" s="6" t="s">
        <v>22</v>
      </c>
      <c r="X5" s="6" t="s">
        <v>23</v>
      </c>
      <c r="Y5" s="6" t="s">
        <v>24</v>
      </c>
      <c r="Z5" s="6" t="s">
        <v>25</v>
      </c>
      <c r="AA5" s="6" t="s">
        <v>26</v>
      </c>
      <c r="AB5" s="6" t="s">
        <v>27</v>
      </c>
      <c r="AC5" s="6" t="s">
        <v>28</v>
      </c>
      <c r="AD5" s="6" t="s">
        <v>29</v>
      </c>
      <c r="AE5" s="6" t="s">
        <v>30</v>
      </c>
      <c r="AF5" s="6" t="s">
        <v>31</v>
      </c>
      <c r="AG5" s="7" t="s">
        <v>32</v>
      </c>
      <c r="AQ5" s="8" t="s">
        <v>33</v>
      </c>
    </row>
    <row r="6" spans="2:43" ht="13.5" customHeight="1" x14ac:dyDescent="0.3">
      <c r="B6" s="9">
        <v>1</v>
      </c>
      <c r="C6" s="10" t="s">
        <v>34</v>
      </c>
      <c r="D6" s="11">
        <v>6</v>
      </c>
      <c r="E6" s="12"/>
      <c r="F6" s="13"/>
      <c r="G6" s="13">
        <v>2</v>
      </c>
      <c r="H6" s="13">
        <v>1</v>
      </c>
      <c r="I6" s="13">
        <v>1</v>
      </c>
      <c r="J6" s="13"/>
      <c r="K6" s="13">
        <v>2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72"/>
    </row>
    <row r="7" spans="2:43" ht="13.5" customHeight="1" x14ac:dyDescent="0.3">
      <c r="B7" s="14">
        <v>2</v>
      </c>
      <c r="C7" s="15" t="s">
        <v>35</v>
      </c>
      <c r="D7" s="11">
        <v>6</v>
      </c>
      <c r="E7" s="16"/>
      <c r="F7" s="22"/>
      <c r="G7" s="22"/>
      <c r="H7" s="22">
        <v>2</v>
      </c>
      <c r="I7" s="22">
        <v>3</v>
      </c>
      <c r="J7" s="22"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17"/>
      <c r="AQ7" s="8" t="s">
        <v>36</v>
      </c>
    </row>
    <row r="8" spans="2:43" ht="13.5" customHeight="1" x14ac:dyDescent="0.3">
      <c r="B8" s="14">
        <v>3</v>
      </c>
      <c r="C8" s="15" t="s">
        <v>37</v>
      </c>
      <c r="D8" s="11">
        <v>6</v>
      </c>
      <c r="E8" s="16"/>
      <c r="F8" s="22"/>
      <c r="G8" s="22">
        <v>3</v>
      </c>
      <c r="H8" s="22">
        <v>2</v>
      </c>
      <c r="I8" s="22">
        <v>1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17"/>
    </row>
    <row r="9" spans="2:43" ht="13.5" customHeight="1" x14ac:dyDescent="0.3">
      <c r="B9" s="14">
        <v>4</v>
      </c>
      <c r="C9" s="15" t="s">
        <v>38</v>
      </c>
      <c r="D9" s="11">
        <v>6</v>
      </c>
      <c r="E9" s="16"/>
      <c r="F9" s="22"/>
      <c r="G9" s="22"/>
      <c r="H9" s="22">
        <v>2</v>
      </c>
      <c r="I9" s="22">
        <v>3</v>
      </c>
      <c r="J9" s="22">
        <v>1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17"/>
    </row>
    <row r="10" spans="2:43" ht="13.5" customHeight="1" x14ac:dyDescent="0.3">
      <c r="B10" s="14">
        <v>5</v>
      </c>
      <c r="C10" s="15" t="s">
        <v>39</v>
      </c>
      <c r="D10" s="11">
        <v>6</v>
      </c>
      <c r="E10" s="16"/>
      <c r="F10" s="22"/>
      <c r="G10" s="22"/>
      <c r="H10" s="22"/>
      <c r="I10" s="22">
        <v>2</v>
      </c>
      <c r="J10" s="22">
        <v>2</v>
      </c>
      <c r="K10" s="22">
        <v>2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17"/>
    </row>
    <row r="11" spans="2:43" ht="13.5" customHeight="1" x14ac:dyDescent="0.3">
      <c r="B11" s="18">
        <v>6</v>
      </c>
      <c r="C11" s="19" t="s">
        <v>40</v>
      </c>
      <c r="D11" s="73">
        <v>8</v>
      </c>
      <c r="E11" s="68"/>
      <c r="F11" s="22"/>
      <c r="G11" s="22"/>
      <c r="H11" s="22"/>
      <c r="I11" s="22"/>
      <c r="J11" s="22"/>
      <c r="K11" s="22"/>
      <c r="L11" s="22"/>
      <c r="M11" s="22"/>
      <c r="N11" s="22"/>
      <c r="O11" s="22">
        <v>3</v>
      </c>
      <c r="P11" s="22">
        <v>3</v>
      </c>
      <c r="Q11" s="22">
        <v>2</v>
      </c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17"/>
    </row>
    <row r="12" spans="2:43" ht="13.5" customHeight="1" x14ac:dyDescent="0.3">
      <c r="B12" s="18">
        <v>7</v>
      </c>
      <c r="C12" s="19" t="s">
        <v>41</v>
      </c>
      <c r="D12" s="73">
        <v>8</v>
      </c>
      <c r="E12" s="68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>
        <v>1</v>
      </c>
      <c r="W12" s="22"/>
      <c r="X12" s="22">
        <v>3</v>
      </c>
      <c r="Y12" s="22">
        <v>4</v>
      </c>
      <c r="Z12" s="22"/>
      <c r="AA12" s="22"/>
      <c r="AB12" s="22"/>
      <c r="AC12" s="22"/>
      <c r="AD12" s="22"/>
      <c r="AE12" s="22"/>
      <c r="AF12" s="22"/>
      <c r="AG12" s="17"/>
    </row>
    <row r="13" spans="2:43" ht="13.5" customHeight="1" x14ac:dyDescent="0.3">
      <c r="B13" s="18">
        <v>8</v>
      </c>
      <c r="C13" s="19" t="s">
        <v>42</v>
      </c>
      <c r="D13" s="73">
        <v>8</v>
      </c>
      <c r="E13" s="68"/>
      <c r="F13" s="22"/>
      <c r="G13" s="22"/>
      <c r="H13" s="22"/>
      <c r="I13" s="22"/>
      <c r="J13" s="22"/>
      <c r="K13" s="22"/>
      <c r="L13" s="22"/>
      <c r="M13" s="22"/>
      <c r="N13" s="22">
        <v>1</v>
      </c>
      <c r="O13" s="22">
        <v>2</v>
      </c>
      <c r="P13" s="22">
        <v>3</v>
      </c>
      <c r="Q13" s="22">
        <v>2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17"/>
    </row>
    <row r="14" spans="2:43" ht="13.5" customHeight="1" x14ac:dyDescent="0.3">
      <c r="B14" s="18">
        <v>9</v>
      </c>
      <c r="C14" s="19" t="s">
        <v>43</v>
      </c>
      <c r="D14" s="73">
        <v>8</v>
      </c>
      <c r="E14" s="68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>
        <v>3</v>
      </c>
      <c r="X14" s="22">
        <v>3</v>
      </c>
      <c r="Y14" s="22">
        <v>2</v>
      </c>
      <c r="Z14" s="22"/>
      <c r="AA14" s="22"/>
      <c r="AB14" s="22"/>
      <c r="AC14" s="22"/>
      <c r="AD14" s="22"/>
      <c r="AE14" s="22"/>
      <c r="AF14" s="22"/>
      <c r="AG14" s="17"/>
    </row>
    <row r="15" spans="2:43" ht="13.5" customHeight="1" x14ac:dyDescent="0.3">
      <c r="B15" s="18">
        <v>10</v>
      </c>
      <c r="C15" s="19" t="s">
        <v>44</v>
      </c>
      <c r="D15" s="73">
        <v>2</v>
      </c>
      <c r="E15" s="68"/>
      <c r="F15" s="22"/>
      <c r="G15" s="22"/>
      <c r="H15" s="22"/>
      <c r="I15" s="22"/>
      <c r="J15" s="22"/>
      <c r="K15" s="22"/>
      <c r="L15" s="22"/>
      <c r="M15" s="22"/>
      <c r="N15" s="22">
        <v>2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17"/>
    </row>
    <row r="16" spans="2:43" ht="13.5" customHeight="1" x14ac:dyDescent="0.3">
      <c r="B16" s="18">
        <v>11</v>
      </c>
      <c r="C16" s="19" t="s">
        <v>45</v>
      </c>
      <c r="D16" s="73">
        <v>2</v>
      </c>
      <c r="E16" s="68"/>
      <c r="F16" s="22"/>
      <c r="G16" s="22"/>
      <c r="H16" s="22"/>
      <c r="I16" s="22"/>
      <c r="J16" s="22"/>
      <c r="K16" s="22"/>
      <c r="L16" s="22"/>
      <c r="M16" s="22">
        <v>2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17"/>
    </row>
    <row r="17" spans="2:33" ht="13.5" customHeight="1" x14ac:dyDescent="0.3">
      <c r="B17" s="18">
        <v>12</v>
      </c>
      <c r="C17" s="19" t="s">
        <v>46</v>
      </c>
      <c r="D17" s="73">
        <v>2</v>
      </c>
      <c r="E17" s="68"/>
      <c r="F17" s="22"/>
      <c r="G17" s="22"/>
      <c r="H17" s="22"/>
      <c r="I17" s="22"/>
      <c r="J17" s="22"/>
      <c r="K17" s="22"/>
      <c r="L17" s="22"/>
      <c r="M17" s="22"/>
      <c r="N17" s="22">
        <v>2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17"/>
    </row>
    <row r="18" spans="2:33" ht="13.5" customHeight="1" x14ac:dyDescent="0.3">
      <c r="B18" s="18">
        <v>13</v>
      </c>
      <c r="C18" s="19" t="s">
        <v>47</v>
      </c>
      <c r="D18" s="73">
        <v>2</v>
      </c>
      <c r="E18" s="68"/>
      <c r="F18" s="22"/>
      <c r="G18" s="22"/>
      <c r="H18" s="22"/>
      <c r="I18" s="22"/>
      <c r="J18" s="22"/>
      <c r="K18" s="22"/>
      <c r="L18" s="22">
        <v>2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17"/>
    </row>
    <row r="19" spans="2:33" ht="13.5" customHeight="1" x14ac:dyDescent="0.3">
      <c r="B19" s="18">
        <v>14</v>
      </c>
      <c r="C19" s="19" t="s">
        <v>48</v>
      </c>
      <c r="D19" s="73">
        <v>2</v>
      </c>
      <c r="E19" s="68"/>
      <c r="F19" s="22"/>
      <c r="G19" s="22"/>
      <c r="H19" s="22"/>
      <c r="I19" s="22"/>
      <c r="J19" s="22"/>
      <c r="K19" s="22"/>
      <c r="L19" s="22"/>
      <c r="M19" s="22">
        <v>2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17"/>
    </row>
    <row r="20" spans="2:33" ht="13.5" customHeight="1" x14ac:dyDescent="0.3">
      <c r="B20" s="18">
        <v>15</v>
      </c>
      <c r="C20" s="19" t="s">
        <v>49</v>
      </c>
      <c r="D20" s="73">
        <v>2</v>
      </c>
      <c r="E20" s="68"/>
      <c r="F20" s="22"/>
      <c r="G20" s="22"/>
      <c r="H20" s="22"/>
      <c r="I20" s="22"/>
      <c r="J20" s="22"/>
      <c r="K20" s="22"/>
      <c r="L20" s="22"/>
      <c r="M20" s="22"/>
      <c r="N20" s="22">
        <v>2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17"/>
    </row>
    <row r="21" spans="2:33" ht="13.5" customHeight="1" x14ac:dyDescent="0.3">
      <c r="B21" s="18">
        <v>16</v>
      </c>
      <c r="C21" s="19" t="s">
        <v>50</v>
      </c>
      <c r="D21" s="73">
        <v>2</v>
      </c>
      <c r="E21" s="68"/>
      <c r="F21" s="22"/>
      <c r="G21" s="22"/>
      <c r="H21" s="22"/>
      <c r="I21" s="22"/>
      <c r="J21" s="22"/>
      <c r="K21" s="22"/>
      <c r="L21" s="22">
        <v>2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17"/>
    </row>
    <row r="22" spans="2:33" ht="13.5" customHeight="1" x14ac:dyDescent="0.3">
      <c r="B22" s="18">
        <v>17</v>
      </c>
      <c r="C22" s="19" t="s">
        <v>51</v>
      </c>
      <c r="D22" s="73">
        <v>2</v>
      </c>
      <c r="E22" s="68"/>
      <c r="F22" s="22"/>
      <c r="G22" s="22"/>
      <c r="H22" s="22"/>
      <c r="I22" s="22"/>
      <c r="J22" s="22"/>
      <c r="K22" s="22"/>
      <c r="L22" s="22"/>
      <c r="M22" s="22">
        <v>2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17"/>
    </row>
    <row r="23" spans="2:33" ht="13.5" customHeight="1" x14ac:dyDescent="0.3">
      <c r="B23" s="18">
        <v>18</v>
      </c>
      <c r="C23" s="20" t="s">
        <v>52</v>
      </c>
      <c r="D23" s="73">
        <v>2</v>
      </c>
      <c r="E23" s="68"/>
      <c r="F23" s="22"/>
      <c r="G23" s="22"/>
      <c r="H23" s="22"/>
      <c r="I23" s="22"/>
      <c r="J23" s="22"/>
      <c r="K23" s="22"/>
      <c r="L23" s="22"/>
      <c r="M23" s="22">
        <v>2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17"/>
    </row>
    <row r="24" spans="2:33" ht="13.5" customHeight="1" x14ac:dyDescent="0.3">
      <c r="B24" s="18">
        <v>19</v>
      </c>
      <c r="C24" s="19" t="s">
        <v>53</v>
      </c>
      <c r="D24" s="73">
        <v>2</v>
      </c>
      <c r="E24" s="68"/>
      <c r="F24" s="22"/>
      <c r="G24" s="22"/>
      <c r="H24" s="22"/>
      <c r="I24" s="22"/>
      <c r="J24" s="22"/>
      <c r="K24" s="22"/>
      <c r="L24" s="22">
        <v>2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17"/>
    </row>
    <row r="25" spans="2:33" ht="13.5" customHeight="1" x14ac:dyDescent="0.3">
      <c r="B25" s="18">
        <v>20</v>
      </c>
      <c r="C25" s="21" t="s">
        <v>54</v>
      </c>
      <c r="D25" s="73">
        <v>6</v>
      </c>
      <c r="E25" s="68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>
        <v>2</v>
      </c>
      <c r="U25" s="22">
        <v>1</v>
      </c>
      <c r="V25" s="22">
        <v>2</v>
      </c>
      <c r="W25" s="22">
        <v>1</v>
      </c>
      <c r="X25" s="22"/>
      <c r="Y25" s="22"/>
      <c r="Z25" s="22"/>
      <c r="AA25" s="22"/>
      <c r="AB25" s="22"/>
      <c r="AC25" s="22"/>
      <c r="AD25" s="22"/>
      <c r="AE25" s="22"/>
      <c r="AF25" s="22"/>
      <c r="AG25" s="17"/>
    </row>
    <row r="26" spans="2:33" ht="13.5" customHeight="1" x14ac:dyDescent="0.3">
      <c r="B26" s="18">
        <v>21</v>
      </c>
      <c r="C26" s="21" t="s">
        <v>55</v>
      </c>
      <c r="D26" s="73">
        <v>6</v>
      </c>
      <c r="E26" s="68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>
        <v>3</v>
      </c>
      <c r="Y26" s="22">
        <v>1</v>
      </c>
      <c r="Z26" s="22">
        <v>2</v>
      </c>
      <c r="AA26" s="22"/>
      <c r="AB26" s="22"/>
      <c r="AC26" s="22"/>
      <c r="AD26" s="22"/>
      <c r="AE26" s="22"/>
      <c r="AF26" s="22"/>
      <c r="AG26" s="17"/>
    </row>
    <row r="27" spans="2:33" ht="13.5" customHeight="1" x14ac:dyDescent="0.3">
      <c r="B27" s="18">
        <v>22</v>
      </c>
      <c r="C27" s="21" t="s">
        <v>56</v>
      </c>
      <c r="D27" s="73">
        <v>6</v>
      </c>
      <c r="E27" s="68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>
        <v>1</v>
      </c>
      <c r="V27" s="22">
        <v>2</v>
      </c>
      <c r="W27" s="22">
        <v>1</v>
      </c>
      <c r="X27" s="22"/>
      <c r="Y27" s="22"/>
      <c r="Z27" s="22">
        <v>2</v>
      </c>
      <c r="AA27" s="22"/>
      <c r="AB27" s="22"/>
      <c r="AC27" s="22"/>
      <c r="AD27" s="22"/>
      <c r="AE27" s="22"/>
      <c r="AF27" s="22"/>
      <c r="AG27" s="17"/>
    </row>
    <row r="28" spans="2:33" ht="13.5" customHeight="1" x14ac:dyDescent="0.3">
      <c r="B28" s="18">
        <v>23</v>
      </c>
      <c r="C28" s="21" t="s">
        <v>57</v>
      </c>
      <c r="D28" s="73">
        <v>6</v>
      </c>
      <c r="E28" s="68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>
        <v>3</v>
      </c>
      <c r="Y28" s="22">
        <v>3</v>
      </c>
      <c r="Z28" s="22"/>
      <c r="AA28" s="22"/>
      <c r="AB28" s="22"/>
      <c r="AC28" s="22"/>
      <c r="AD28" s="22"/>
      <c r="AE28" s="22"/>
      <c r="AF28" s="22"/>
      <c r="AG28" s="17"/>
    </row>
    <row r="29" spans="2:33" ht="13.5" customHeight="1" x14ac:dyDescent="0.3">
      <c r="B29" s="18">
        <v>24</v>
      </c>
      <c r="C29" s="21" t="s">
        <v>58</v>
      </c>
      <c r="D29" s="73">
        <v>6</v>
      </c>
      <c r="E29" s="68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>
        <v>1</v>
      </c>
      <c r="X29" s="22">
        <v>2</v>
      </c>
      <c r="Y29" s="22">
        <v>1</v>
      </c>
      <c r="Z29" s="22">
        <v>2</v>
      </c>
      <c r="AA29" s="22"/>
      <c r="AB29" s="22"/>
      <c r="AC29" s="22"/>
      <c r="AD29" s="22"/>
      <c r="AE29" s="22"/>
      <c r="AF29" s="22"/>
      <c r="AG29" s="17"/>
    </row>
    <row r="30" spans="2:33" ht="13.5" customHeight="1" x14ac:dyDescent="0.3">
      <c r="B30" s="18">
        <v>25</v>
      </c>
      <c r="C30" s="21" t="s">
        <v>59</v>
      </c>
      <c r="D30" s="73">
        <v>2</v>
      </c>
      <c r="E30" s="68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>
        <v>2</v>
      </c>
      <c r="Z30" s="22"/>
      <c r="AA30" s="22"/>
      <c r="AB30" s="22"/>
      <c r="AC30" s="22"/>
      <c r="AD30" s="22"/>
      <c r="AE30" s="22"/>
      <c r="AF30" s="22"/>
      <c r="AG30" s="17"/>
    </row>
    <row r="31" spans="2:33" ht="13.5" customHeight="1" x14ac:dyDescent="0.3">
      <c r="B31" s="18">
        <v>26</v>
      </c>
      <c r="C31" s="21" t="s">
        <v>60</v>
      </c>
      <c r="D31" s="73">
        <v>6</v>
      </c>
      <c r="E31" s="68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>
        <v>2</v>
      </c>
      <c r="Z31" s="22">
        <v>2</v>
      </c>
      <c r="AA31" s="22">
        <v>2</v>
      </c>
      <c r="AB31" s="22"/>
      <c r="AC31" s="22"/>
      <c r="AD31" s="22"/>
      <c r="AE31" s="22"/>
      <c r="AF31" s="22"/>
      <c r="AG31" s="17"/>
    </row>
    <row r="32" spans="2:33" ht="13.5" customHeight="1" x14ac:dyDescent="0.3">
      <c r="B32" s="18">
        <v>27</v>
      </c>
      <c r="C32" s="21" t="s">
        <v>61</v>
      </c>
      <c r="D32" s="73">
        <v>6</v>
      </c>
      <c r="E32" s="68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>
        <v>2</v>
      </c>
      <c r="AB32" s="22">
        <v>2</v>
      </c>
      <c r="AC32" s="22">
        <v>2</v>
      </c>
      <c r="AD32" s="22"/>
      <c r="AE32" s="22"/>
      <c r="AF32" s="22"/>
      <c r="AG32" s="17"/>
    </row>
    <row r="33" spans="2:33" ht="13.5" customHeight="1" x14ac:dyDescent="0.3">
      <c r="B33" s="18">
        <v>28</v>
      </c>
      <c r="C33" s="21" t="s">
        <v>62</v>
      </c>
      <c r="D33" s="73">
        <v>6</v>
      </c>
      <c r="E33" s="68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>
        <v>3</v>
      </c>
      <c r="AA33" s="22">
        <v>1</v>
      </c>
      <c r="AB33" s="22">
        <v>2</v>
      </c>
      <c r="AC33" s="22"/>
      <c r="AD33" s="22"/>
      <c r="AE33" s="22"/>
      <c r="AF33" s="22"/>
      <c r="AG33" s="17"/>
    </row>
    <row r="34" spans="2:33" ht="13.5" customHeight="1" x14ac:dyDescent="0.3">
      <c r="B34" s="18">
        <v>29</v>
      </c>
      <c r="C34" s="21" t="s">
        <v>63</v>
      </c>
      <c r="D34" s="73">
        <v>6</v>
      </c>
      <c r="E34" s="68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>
        <v>3</v>
      </c>
      <c r="AA34" s="22">
        <v>2</v>
      </c>
      <c r="AB34" s="22"/>
      <c r="AC34" s="22">
        <v>1</v>
      </c>
      <c r="AD34" s="22"/>
      <c r="AE34" s="22"/>
      <c r="AF34" s="22"/>
      <c r="AG34" s="17"/>
    </row>
    <row r="35" spans="2:33" ht="13.5" customHeight="1" x14ac:dyDescent="0.3">
      <c r="B35" s="18">
        <v>30</v>
      </c>
      <c r="C35" s="21" t="s">
        <v>64</v>
      </c>
      <c r="D35" s="73">
        <v>6</v>
      </c>
      <c r="E35" s="68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>
        <v>2</v>
      </c>
      <c r="AB35" s="22">
        <v>2</v>
      </c>
      <c r="AC35" s="22">
        <v>2</v>
      </c>
      <c r="AD35" s="22"/>
      <c r="AE35" s="22"/>
      <c r="AF35" s="22"/>
      <c r="AG35" s="17"/>
    </row>
    <row r="36" spans="2:33" ht="13.5" customHeight="1" x14ac:dyDescent="0.3">
      <c r="B36" s="18">
        <v>31</v>
      </c>
      <c r="C36" s="21" t="s">
        <v>65</v>
      </c>
      <c r="D36" s="73">
        <v>8</v>
      </c>
      <c r="E36" s="68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>
        <v>1</v>
      </c>
      <c r="AA36" s="22">
        <v>3</v>
      </c>
      <c r="AB36" s="22">
        <v>2</v>
      </c>
      <c r="AC36" s="22">
        <v>2</v>
      </c>
      <c r="AD36" s="22"/>
      <c r="AE36" s="22"/>
      <c r="AF36" s="22"/>
      <c r="AG36" s="17"/>
    </row>
    <row r="37" spans="2:33" ht="13.5" customHeight="1" x14ac:dyDescent="0.3">
      <c r="B37" s="18">
        <v>32</v>
      </c>
      <c r="C37" s="21" t="s">
        <v>66</v>
      </c>
      <c r="D37" s="73">
        <v>1</v>
      </c>
      <c r="E37" s="68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>
        <v>1</v>
      </c>
      <c r="AE37" s="22"/>
      <c r="AF37" s="22"/>
      <c r="AG37" s="17"/>
    </row>
    <row r="38" spans="2:33" ht="13.5" customHeight="1" x14ac:dyDescent="0.3">
      <c r="B38" s="18">
        <v>33</v>
      </c>
      <c r="C38" s="21" t="s">
        <v>67</v>
      </c>
      <c r="D38" s="73">
        <v>3</v>
      </c>
      <c r="E38" s="68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>
        <v>1</v>
      </c>
      <c r="AC38" s="22">
        <v>2</v>
      </c>
      <c r="AD38" s="22"/>
      <c r="AE38" s="22"/>
      <c r="AF38" s="22"/>
      <c r="AG38" s="17"/>
    </row>
    <row r="39" spans="2:33" ht="13.5" customHeight="1" x14ac:dyDescent="0.3">
      <c r="B39" s="18"/>
      <c r="C39" s="21"/>
      <c r="D39" s="73"/>
      <c r="E39" s="68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17"/>
    </row>
    <row r="40" spans="2:33" ht="13.5" customHeight="1" x14ac:dyDescent="0.3">
      <c r="B40" s="18"/>
      <c r="C40" s="21"/>
      <c r="D40" s="73"/>
      <c r="E40" s="23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5"/>
    </row>
    <row r="41" spans="2:33" ht="15" customHeight="1" x14ac:dyDescent="0.3">
      <c r="B41" s="77" t="s">
        <v>68</v>
      </c>
      <c r="C41" s="78"/>
      <c r="D41" s="26">
        <v>0</v>
      </c>
      <c r="E41" s="27">
        <f t="shared" ref="E41:AG41" si="0">SUM(E6:E40)</f>
        <v>0</v>
      </c>
      <c r="F41" s="28">
        <f t="shared" si="0"/>
        <v>0</v>
      </c>
      <c r="G41" s="28">
        <f t="shared" si="0"/>
        <v>5</v>
      </c>
      <c r="H41" s="28">
        <f t="shared" si="0"/>
        <v>7</v>
      </c>
      <c r="I41" s="28">
        <f t="shared" si="0"/>
        <v>10</v>
      </c>
      <c r="J41" s="28">
        <f t="shared" si="0"/>
        <v>4</v>
      </c>
      <c r="K41" s="28">
        <f t="shared" si="0"/>
        <v>4</v>
      </c>
      <c r="L41" s="28">
        <f>SUM(L6:L40)</f>
        <v>6</v>
      </c>
      <c r="M41" s="28">
        <f>SUM(M6:M40)</f>
        <v>8</v>
      </c>
      <c r="N41" s="28">
        <f t="shared" si="0"/>
        <v>7</v>
      </c>
      <c r="O41" s="28">
        <f t="shared" si="0"/>
        <v>5</v>
      </c>
      <c r="P41" s="28">
        <f t="shared" si="0"/>
        <v>6</v>
      </c>
      <c r="Q41" s="28">
        <f>SUM(Q6:Q40)</f>
        <v>4</v>
      </c>
      <c r="R41" s="28">
        <f t="shared" si="0"/>
        <v>0</v>
      </c>
      <c r="S41" s="28">
        <f t="shared" si="0"/>
        <v>0</v>
      </c>
      <c r="T41" s="28">
        <f t="shared" si="0"/>
        <v>2</v>
      </c>
      <c r="U41" s="28">
        <f t="shared" si="0"/>
        <v>2</v>
      </c>
      <c r="V41" s="28">
        <f t="shared" si="0"/>
        <v>5</v>
      </c>
      <c r="W41" s="28">
        <f t="shared" si="0"/>
        <v>6</v>
      </c>
      <c r="X41" s="28">
        <f>SUM(X6:X40)</f>
        <v>14</v>
      </c>
      <c r="Y41" s="28">
        <f t="shared" si="0"/>
        <v>15</v>
      </c>
      <c r="Z41" s="28">
        <f t="shared" si="0"/>
        <v>15</v>
      </c>
      <c r="AA41" s="28">
        <f t="shared" si="0"/>
        <v>12</v>
      </c>
      <c r="AB41" s="28">
        <f t="shared" si="0"/>
        <v>9</v>
      </c>
      <c r="AC41" s="28">
        <f t="shared" si="0"/>
        <v>9</v>
      </c>
      <c r="AD41" s="28">
        <f t="shared" si="0"/>
        <v>1</v>
      </c>
      <c r="AE41" s="28">
        <f t="shared" si="0"/>
        <v>0</v>
      </c>
      <c r="AF41" s="28">
        <f t="shared" si="0"/>
        <v>0</v>
      </c>
      <c r="AG41" s="29">
        <f t="shared" si="0"/>
        <v>0</v>
      </c>
    </row>
    <row r="42" spans="2:33" ht="13.5" customHeight="1" x14ac:dyDescent="0.3">
      <c r="B42" s="79" t="s">
        <v>69</v>
      </c>
      <c r="C42" s="80"/>
      <c r="D42" s="30">
        <f>SUM(D6:D41)</f>
        <v>156</v>
      </c>
      <c r="E42" s="31">
        <f>D42-SUM(E6:E40)</f>
        <v>156</v>
      </c>
      <c r="F42" s="32">
        <f>E42-SUM(F6:F40)</f>
        <v>156</v>
      </c>
      <c r="G42" s="32">
        <f>F42-SUM(G6:G40)</f>
        <v>151</v>
      </c>
      <c r="H42" s="32">
        <f>G42-SUM(H6:H40)</f>
        <v>144</v>
      </c>
      <c r="I42" s="32">
        <f>H42-SUM(I6:I40)</f>
        <v>134</v>
      </c>
      <c r="J42" s="32">
        <f t="shared" ref="J42:AG42" si="1">I42-SUM(J6:J40)</f>
        <v>130</v>
      </c>
      <c r="K42" s="32">
        <f t="shared" si="1"/>
        <v>126</v>
      </c>
      <c r="L42" s="32">
        <f t="shared" si="1"/>
        <v>120</v>
      </c>
      <c r="M42" s="32">
        <f t="shared" si="1"/>
        <v>112</v>
      </c>
      <c r="N42" s="32">
        <f t="shared" si="1"/>
        <v>105</v>
      </c>
      <c r="O42" s="32">
        <f t="shared" si="1"/>
        <v>100</v>
      </c>
      <c r="P42" s="32">
        <f>O42-SUM(P6:P40)</f>
        <v>94</v>
      </c>
      <c r="Q42" s="32">
        <f>P42-SUM(Q6:Q40)</f>
        <v>90</v>
      </c>
      <c r="R42" s="32">
        <f t="shared" si="1"/>
        <v>90</v>
      </c>
      <c r="S42" s="32">
        <f>R42-SUM(S6:S40)</f>
        <v>90</v>
      </c>
      <c r="T42" s="32">
        <f t="shared" si="1"/>
        <v>88</v>
      </c>
      <c r="U42" s="32">
        <f t="shared" si="1"/>
        <v>86</v>
      </c>
      <c r="V42" s="32">
        <f t="shared" si="1"/>
        <v>81</v>
      </c>
      <c r="W42" s="32">
        <f>V42-SUM(W6:W40)</f>
        <v>75</v>
      </c>
      <c r="X42" s="32">
        <f t="shared" si="1"/>
        <v>61</v>
      </c>
      <c r="Y42" s="32">
        <f t="shared" si="1"/>
        <v>46</v>
      </c>
      <c r="Z42" s="32">
        <f>Y42-SUM(Z6:Z40)</f>
        <v>31</v>
      </c>
      <c r="AA42" s="32">
        <f t="shared" si="1"/>
        <v>19</v>
      </c>
      <c r="AB42" s="32">
        <f t="shared" si="1"/>
        <v>10</v>
      </c>
      <c r="AC42" s="32">
        <f t="shared" si="1"/>
        <v>1</v>
      </c>
      <c r="AD42" s="32">
        <f t="shared" si="1"/>
        <v>0</v>
      </c>
      <c r="AE42" s="32">
        <f t="shared" si="1"/>
        <v>0</v>
      </c>
      <c r="AF42" s="32">
        <f t="shared" si="1"/>
        <v>0</v>
      </c>
      <c r="AG42" s="33">
        <f t="shared" si="1"/>
        <v>0</v>
      </c>
    </row>
    <row r="43" spans="2:33" ht="13.5" customHeight="1" x14ac:dyDescent="0.3">
      <c r="B43" s="81" t="s">
        <v>70</v>
      </c>
      <c r="C43" s="82"/>
      <c r="D43" s="34">
        <f>D42</f>
        <v>156</v>
      </c>
      <c r="E43" s="35">
        <f>$D$43-($D$43/29*1)</f>
        <v>150.62068965517241</v>
      </c>
      <c r="F43" s="36">
        <f>$D$43-($D$43/29*2)</f>
        <v>145.24137931034483</v>
      </c>
      <c r="G43" s="36">
        <f>$D$43-($D$43/29*3)</f>
        <v>139.86206896551724</v>
      </c>
      <c r="H43" s="36">
        <f>$D$43-($D$43/29*4)</f>
        <v>134.48275862068965</v>
      </c>
      <c r="I43" s="36">
        <f>$D$43-($D$43/29*5)</f>
        <v>129.10344827586206</v>
      </c>
      <c r="J43" s="36">
        <f>$D$43-($D$43/29*6)</f>
        <v>123.72413793103448</v>
      </c>
      <c r="K43" s="36">
        <f>$D$43-($D$43/29*7)</f>
        <v>118.34482758620689</v>
      </c>
      <c r="L43" s="36">
        <f>$D$43-($D$43/29*8)</f>
        <v>112.9655172413793</v>
      </c>
      <c r="M43" s="36">
        <f>$D$43-($D$43/29*9)</f>
        <v>107.58620689655172</v>
      </c>
      <c r="N43" s="36">
        <f>$D$43-($D$43/29*10)</f>
        <v>102.20689655172413</v>
      </c>
      <c r="O43" s="36">
        <f>$D$43-($D$43/29*11)</f>
        <v>96.827586206896541</v>
      </c>
      <c r="P43" s="36">
        <f>$D$43-($D$43/29*12)</f>
        <v>91.448275862068968</v>
      </c>
      <c r="Q43" s="36">
        <f>$D$43-($D$43/29*13)</f>
        <v>86.068965517241381</v>
      </c>
      <c r="R43" s="36">
        <f>$D$43-($D$43/29*14)</f>
        <v>80.689655172413794</v>
      </c>
      <c r="S43" s="36">
        <f>$D$43-($D$43/29*15)</f>
        <v>75.310344827586206</v>
      </c>
      <c r="T43" s="36">
        <f>$D$43-($D$43/29*16)</f>
        <v>69.931034482758619</v>
      </c>
      <c r="U43" s="36">
        <f>$D$43-($D$43/29*17)</f>
        <v>64.551724137931032</v>
      </c>
      <c r="V43" s="36">
        <f>$D$43-($D$43/29*18)</f>
        <v>59.172413793103445</v>
      </c>
      <c r="W43" s="36">
        <f>$D$43-($D$43/29*19)</f>
        <v>53.793103448275858</v>
      </c>
      <c r="X43" s="36">
        <f>$D$43-($D$43/29*20)</f>
        <v>48.41379310344827</v>
      </c>
      <c r="Y43" s="36">
        <f>$D$43-($D$43/29*21)</f>
        <v>43.034482758620683</v>
      </c>
      <c r="Z43" s="36">
        <f>$D$43-($D$43/29*22)</f>
        <v>37.655172413793096</v>
      </c>
      <c r="AA43" s="36">
        <f>$D$43-($D$43/29*23)</f>
        <v>32.275862068965509</v>
      </c>
      <c r="AB43" s="36">
        <f>$D$43-($D$43/29*24)</f>
        <v>26.896551724137936</v>
      </c>
      <c r="AC43" s="36">
        <f>$D$43-($D$43/29*25)</f>
        <v>21.517241379310349</v>
      </c>
      <c r="AD43" s="36">
        <f>$D$43-($D$43/29*26)</f>
        <v>16.137931034482762</v>
      </c>
      <c r="AE43" s="36">
        <f>$D$43-($D$43/29*27)</f>
        <v>10.758620689655174</v>
      </c>
      <c r="AF43" s="36">
        <f>$D$43-($D$43/29*28)</f>
        <v>5.3793103448275872</v>
      </c>
      <c r="AG43" s="37">
        <f>$D$43-($D$43/29*29)</f>
        <v>0</v>
      </c>
    </row>
    <row r="44" spans="2:33" ht="13.5" customHeight="1" x14ac:dyDescent="0.3">
      <c r="Q44" s="38" t="s">
        <v>71</v>
      </c>
    </row>
    <row r="45" spans="2:33" ht="13.5" customHeight="1" x14ac:dyDescent="0.3"/>
    <row r="46" spans="2:33" ht="13.5" customHeight="1" x14ac:dyDescent="0.3"/>
    <row r="47" spans="2:33" ht="13.5" customHeight="1" x14ac:dyDescent="0.3"/>
    <row r="48" spans="2:33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8">
    <mergeCell ref="B41:C41"/>
    <mergeCell ref="B42:C42"/>
    <mergeCell ref="B43:C43"/>
    <mergeCell ref="B2:AG2"/>
    <mergeCell ref="B3:K3"/>
    <mergeCell ref="B4:B5"/>
    <mergeCell ref="C4:C5"/>
    <mergeCell ref="D4:D5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5FDA-B5B4-408F-BAFA-4C99ACE79CC8}">
  <dimension ref="B1:AR1000"/>
  <sheetViews>
    <sheetView tabSelected="1" zoomScale="67" workbookViewId="0">
      <selection activeCell="I21" sqref="I21"/>
    </sheetView>
  </sheetViews>
  <sheetFormatPr defaultColWidth="14.44140625" defaultRowHeight="15" customHeight="1" x14ac:dyDescent="0.3"/>
  <cols>
    <col min="1" max="1" width="9" customWidth="1"/>
    <col min="2" max="2" width="7.109375" customWidth="1"/>
    <col min="3" max="3" width="73.109375" customWidth="1"/>
    <col min="4" max="4" width="16.88671875" customWidth="1"/>
    <col min="5" max="11" width="10" customWidth="1"/>
    <col min="12" max="43" width="9" customWidth="1"/>
  </cols>
  <sheetData>
    <row r="1" spans="2:44" ht="14.25" customHeight="1" x14ac:dyDescent="0.3"/>
    <row r="2" spans="2:44" ht="27" customHeight="1" x14ac:dyDescent="0.5">
      <c r="B2" s="94" t="s">
        <v>72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</row>
    <row r="3" spans="2:44" ht="13.5" customHeight="1" x14ac:dyDescent="0.3">
      <c r="B3" s="86"/>
      <c r="C3" s="87"/>
      <c r="D3" s="87"/>
      <c r="E3" s="87"/>
      <c r="F3" s="87"/>
      <c r="G3" s="87"/>
      <c r="H3" s="87"/>
      <c r="I3" s="87"/>
      <c r="J3" s="87"/>
      <c r="K3" s="87"/>
      <c r="AG3" s="70"/>
      <c r="AH3" s="71"/>
    </row>
    <row r="4" spans="2:44" ht="15" customHeight="1" x14ac:dyDescent="0.3">
      <c r="B4" s="88" t="s">
        <v>1</v>
      </c>
      <c r="C4" s="90" t="s">
        <v>2</v>
      </c>
      <c r="D4" s="92" t="s">
        <v>3</v>
      </c>
      <c r="E4" s="2">
        <v>45957</v>
      </c>
      <c r="F4" s="3">
        <v>45958</v>
      </c>
      <c r="G4" s="3">
        <v>45959</v>
      </c>
      <c r="H4" s="3">
        <v>45960</v>
      </c>
      <c r="I4" s="3">
        <v>45961</v>
      </c>
      <c r="J4" s="3">
        <v>45962</v>
      </c>
      <c r="K4" s="3">
        <v>45963</v>
      </c>
      <c r="L4" s="3">
        <v>45964</v>
      </c>
      <c r="M4" s="3">
        <v>45965</v>
      </c>
      <c r="N4" s="3">
        <v>45966</v>
      </c>
      <c r="O4" s="3">
        <v>45967</v>
      </c>
      <c r="P4" s="3">
        <v>45968</v>
      </c>
      <c r="Q4" s="3">
        <v>45969</v>
      </c>
      <c r="R4" s="3">
        <v>45970</v>
      </c>
      <c r="S4" s="67" t="s">
        <v>73</v>
      </c>
      <c r="T4" s="67" t="s">
        <v>74</v>
      </c>
      <c r="U4" s="67" t="s">
        <v>75</v>
      </c>
      <c r="V4" s="67" t="s">
        <v>76</v>
      </c>
      <c r="W4" s="67" t="s">
        <v>77</v>
      </c>
      <c r="X4" s="67" t="s">
        <v>78</v>
      </c>
      <c r="Y4" s="67" t="s">
        <v>79</v>
      </c>
      <c r="Z4" s="67" t="s">
        <v>80</v>
      </c>
      <c r="AA4" s="67" t="s">
        <v>81</v>
      </c>
      <c r="AB4" s="67" t="s">
        <v>82</v>
      </c>
      <c r="AC4" s="67" t="s">
        <v>83</v>
      </c>
      <c r="AD4" s="67" t="s">
        <v>84</v>
      </c>
      <c r="AE4" s="67" t="s">
        <v>85</v>
      </c>
      <c r="AF4" s="67" t="s">
        <v>86</v>
      </c>
      <c r="AG4" s="67" t="s">
        <v>87</v>
      </c>
      <c r="AH4" s="67" t="s">
        <v>88</v>
      </c>
      <c r="AI4" s="67" t="s">
        <v>89</v>
      </c>
      <c r="AJ4" s="67" t="s">
        <v>90</v>
      </c>
      <c r="AK4" s="67" t="s">
        <v>91</v>
      </c>
      <c r="AL4" s="67" t="s">
        <v>92</v>
      </c>
      <c r="AM4" s="67" t="s">
        <v>93</v>
      </c>
      <c r="AN4" s="67" t="s">
        <v>94</v>
      </c>
      <c r="AO4" s="67" t="s">
        <v>95</v>
      </c>
      <c r="AP4" s="67" t="s">
        <v>96</v>
      </c>
    </row>
    <row r="5" spans="2:44" ht="13.5" customHeight="1" x14ac:dyDescent="0.3">
      <c r="B5" s="89"/>
      <c r="C5" s="91"/>
      <c r="D5" s="93"/>
      <c r="E5" s="5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5" t="s">
        <v>9</v>
      </c>
      <c r="K5" s="6" t="s">
        <v>10</v>
      </c>
      <c r="L5" s="6" t="s">
        <v>11</v>
      </c>
      <c r="M5" s="6" t="s">
        <v>12</v>
      </c>
      <c r="N5" s="6" t="s">
        <v>13</v>
      </c>
      <c r="O5" s="5" t="s">
        <v>14</v>
      </c>
      <c r="P5" s="6" t="s">
        <v>15</v>
      </c>
      <c r="Q5" s="6" t="s">
        <v>16</v>
      </c>
      <c r="R5" s="6" t="s">
        <v>17</v>
      </c>
      <c r="S5" s="6" t="s">
        <v>18</v>
      </c>
      <c r="T5" s="5" t="s">
        <v>19</v>
      </c>
      <c r="U5" s="6" t="s">
        <v>20</v>
      </c>
      <c r="V5" s="6" t="s">
        <v>21</v>
      </c>
      <c r="W5" s="6" t="s">
        <v>22</v>
      </c>
      <c r="X5" s="6" t="s">
        <v>23</v>
      </c>
      <c r="Y5" s="5" t="s">
        <v>24</v>
      </c>
      <c r="Z5" s="6" t="s">
        <v>25</v>
      </c>
      <c r="AA5" s="6" t="s">
        <v>26</v>
      </c>
      <c r="AB5" s="6" t="s">
        <v>27</v>
      </c>
      <c r="AC5" s="6" t="s">
        <v>28</v>
      </c>
      <c r="AD5" s="5" t="s">
        <v>29</v>
      </c>
      <c r="AE5" s="6" t="s">
        <v>30</v>
      </c>
      <c r="AF5" s="6" t="s">
        <v>31</v>
      </c>
      <c r="AG5" s="6" t="s">
        <v>32</v>
      </c>
      <c r="AH5" s="6" t="s">
        <v>97</v>
      </c>
      <c r="AI5" s="5" t="s">
        <v>98</v>
      </c>
      <c r="AJ5" s="6" t="s">
        <v>99</v>
      </c>
      <c r="AK5" s="6" t="s">
        <v>100</v>
      </c>
      <c r="AL5" s="6" t="s">
        <v>101</v>
      </c>
      <c r="AM5" s="6" t="s">
        <v>102</v>
      </c>
      <c r="AN5" s="5" t="s">
        <v>103</v>
      </c>
      <c r="AO5" s="6" t="s">
        <v>104</v>
      </c>
      <c r="AP5" s="6" t="s">
        <v>105</v>
      </c>
      <c r="AR5" s="8" t="s">
        <v>33</v>
      </c>
    </row>
    <row r="6" spans="2:44" ht="13.5" customHeight="1" x14ac:dyDescent="0.3">
      <c r="B6" s="9">
        <v>1</v>
      </c>
      <c r="C6" s="10" t="s">
        <v>166</v>
      </c>
      <c r="D6" s="11">
        <v>5</v>
      </c>
      <c r="E6" s="12"/>
      <c r="F6" s="13"/>
      <c r="G6" s="13"/>
      <c r="H6" s="13"/>
      <c r="I6" s="13"/>
      <c r="J6" s="13"/>
      <c r="K6" s="13"/>
      <c r="L6" s="13"/>
      <c r="M6" s="13"/>
      <c r="N6" s="13">
        <v>1</v>
      </c>
      <c r="O6" s="13">
        <v>2</v>
      </c>
      <c r="P6" s="13">
        <v>2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72"/>
    </row>
    <row r="7" spans="2:44" ht="13.5" customHeight="1" x14ac:dyDescent="0.3">
      <c r="B7" s="14">
        <v>2</v>
      </c>
      <c r="C7" s="15" t="s">
        <v>167</v>
      </c>
      <c r="D7" s="11">
        <v>2</v>
      </c>
      <c r="E7" s="16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>
        <v>2</v>
      </c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17"/>
      <c r="AR7" s="8" t="s">
        <v>36</v>
      </c>
    </row>
    <row r="8" spans="2:44" ht="13.5" customHeight="1" x14ac:dyDescent="0.3">
      <c r="B8" s="14">
        <v>3</v>
      </c>
      <c r="C8" s="15" t="s">
        <v>168</v>
      </c>
      <c r="D8" s="11">
        <v>5</v>
      </c>
      <c r="E8" s="16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17"/>
    </row>
    <row r="9" spans="2:44" ht="13.5" customHeight="1" x14ac:dyDescent="0.3">
      <c r="B9" s="14">
        <v>4</v>
      </c>
      <c r="C9" s="15" t="s">
        <v>170</v>
      </c>
      <c r="D9" s="11">
        <v>3</v>
      </c>
      <c r="E9" s="16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17"/>
    </row>
    <row r="10" spans="2:44" ht="13.5" customHeight="1" x14ac:dyDescent="0.3">
      <c r="B10" s="14">
        <v>5</v>
      </c>
      <c r="C10" s="15" t="s">
        <v>169</v>
      </c>
      <c r="D10" s="11">
        <v>8</v>
      </c>
      <c r="E10" s="16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17"/>
    </row>
    <row r="11" spans="2:44" ht="13.5" customHeight="1" x14ac:dyDescent="0.3">
      <c r="B11" s="18">
        <v>6</v>
      </c>
      <c r="C11" s="19" t="s">
        <v>171</v>
      </c>
      <c r="D11" s="73">
        <v>7</v>
      </c>
      <c r="E11" s="68"/>
      <c r="F11" s="22"/>
      <c r="G11" s="22"/>
      <c r="H11" s="22"/>
      <c r="I11" s="22"/>
      <c r="J11" s="22"/>
      <c r="K11" s="68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17"/>
    </row>
    <row r="12" spans="2:44" ht="13.5" customHeight="1" x14ac:dyDescent="0.3">
      <c r="B12" s="18">
        <v>7</v>
      </c>
      <c r="C12" s="19" t="s">
        <v>172</v>
      </c>
      <c r="D12" s="73">
        <v>4</v>
      </c>
      <c r="E12" s="68"/>
      <c r="F12" s="22"/>
      <c r="G12" s="22"/>
      <c r="H12" s="22"/>
      <c r="I12" s="22"/>
      <c r="J12" s="22"/>
      <c r="K12" s="68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17"/>
    </row>
    <row r="13" spans="2:44" ht="13.5" customHeight="1" x14ac:dyDescent="0.3">
      <c r="B13" s="18">
        <v>8</v>
      </c>
      <c r="C13" s="19" t="s">
        <v>174</v>
      </c>
      <c r="D13" s="73">
        <v>6</v>
      </c>
      <c r="E13" s="68"/>
      <c r="F13" s="22"/>
      <c r="G13" s="22"/>
      <c r="H13" s="22"/>
      <c r="I13" s="22"/>
      <c r="J13" s="22"/>
      <c r="K13" s="68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17"/>
    </row>
    <row r="14" spans="2:44" ht="13.5" customHeight="1" x14ac:dyDescent="0.3">
      <c r="B14" s="18">
        <v>9</v>
      </c>
      <c r="C14" s="19" t="s">
        <v>173</v>
      </c>
      <c r="D14" s="73">
        <v>7</v>
      </c>
      <c r="E14" s="68"/>
      <c r="F14" s="22"/>
      <c r="G14" s="22"/>
      <c r="H14" s="22"/>
      <c r="I14" s="22"/>
      <c r="J14" s="22"/>
      <c r="K14" s="68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17"/>
    </row>
    <row r="15" spans="2:44" ht="13.5" customHeight="1" x14ac:dyDescent="0.3">
      <c r="B15" s="18">
        <v>10</v>
      </c>
      <c r="C15" s="19" t="s">
        <v>175</v>
      </c>
      <c r="D15" s="73">
        <v>5</v>
      </c>
      <c r="E15" s="68"/>
      <c r="F15" s="22"/>
      <c r="G15" s="22"/>
      <c r="H15" s="22"/>
      <c r="I15" s="22">
        <v>2</v>
      </c>
      <c r="J15" s="22">
        <v>2</v>
      </c>
      <c r="K15" s="68">
        <v>1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17"/>
    </row>
    <row r="16" spans="2:44" ht="13.5" customHeight="1" x14ac:dyDescent="0.3">
      <c r="B16" s="18">
        <v>11</v>
      </c>
      <c r="C16" s="19"/>
      <c r="D16" s="73"/>
      <c r="E16" s="68"/>
      <c r="F16" s="22"/>
      <c r="G16" s="22"/>
      <c r="H16" s="22"/>
      <c r="I16" s="22"/>
      <c r="J16" s="22"/>
      <c r="K16" s="68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17"/>
    </row>
    <row r="17" spans="2:42" ht="13.5" customHeight="1" x14ac:dyDescent="0.3">
      <c r="B17" s="18">
        <v>12</v>
      </c>
      <c r="C17" s="19"/>
      <c r="D17" s="73"/>
      <c r="E17" s="68"/>
      <c r="F17" s="22"/>
      <c r="G17" s="22"/>
      <c r="H17" s="22"/>
      <c r="I17" s="22"/>
      <c r="J17" s="22"/>
      <c r="K17" s="68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17"/>
    </row>
    <row r="18" spans="2:42" ht="13.5" customHeight="1" x14ac:dyDescent="0.3">
      <c r="B18" s="18">
        <v>13</v>
      </c>
      <c r="C18" s="19"/>
      <c r="D18" s="73"/>
      <c r="E18" s="68"/>
      <c r="F18" s="22"/>
      <c r="G18" s="22"/>
      <c r="H18" s="22"/>
      <c r="I18" s="22"/>
      <c r="J18" s="22"/>
      <c r="K18" s="68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17"/>
    </row>
    <row r="19" spans="2:42" ht="13.5" customHeight="1" x14ac:dyDescent="0.3">
      <c r="B19" s="18">
        <v>14</v>
      </c>
      <c r="C19" s="19"/>
      <c r="D19" s="73"/>
      <c r="E19" s="68"/>
      <c r="F19" s="22"/>
      <c r="G19" s="22"/>
      <c r="H19" s="22"/>
      <c r="I19" s="22"/>
      <c r="J19" s="22"/>
      <c r="K19" s="68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17"/>
    </row>
    <row r="20" spans="2:42" ht="13.5" customHeight="1" x14ac:dyDescent="0.3">
      <c r="B20" s="18">
        <v>15</v>
      </c>
      <c r="C20" s="19"/>
      <c r="D20" s="73"/>
      <c r="E20" s="68"/>
      <c r="F20" s="22"/>
      <c r="G20" s="22"/>
      <c r="H20" s="22"/>
      <c r="I20" s="22"/>
      <c r="J20" s="22"/>
      <c r="K20" s="68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17"/>
    </row>
    <row r="21" spans="2:42" ht="13.5" customHeight="1" x14ac:dyDescent="0.3">
      <c r="B21" s="18">
        <v>16</v>
      </c>
      <c r="C21" s="19"/>
      <c r="D21" s="73"/>
      <c r="E21" s="68"/>
      <c r="F21" s="22"/>
      <c r="G21" s="22"/>
      <c r="H21" s="22"/>
      <c r="I21" s="22"/>
      <c r="J21" s="22"/>
      <c r="K21" s="68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17"/>
    </row>
    <row r="22" spans="2:42" ht="13.5" customHeight="1" x14ac:dyDescent="0.3">
      <c r="B22" s="18">
        <v>17</v>
      </c>
      <c r="C22" s="19"/>
      <c r="D22" s="73"/>
      <c r="E22" s="68"/>
      <c r="F22" s="22"/>
      <c r="G22" s="22"/>
      <c r="H22" s="22"/>
      <c r="I22" s="22"/>
      <c r="J22" s="22"/>
      <c r="K22" s="68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17"/>
    </row>
    <row r="23" spans="2:42" ht="13.5" customHeight="1" x14ac:dyDescent="0.3">
      <c r="B23" s="18">
        <v>18</v>
      </c>
      <c r="C23" s="20"/>
      <c r="D23" s="73"/>
      <c r="E23" s="68"/>
      <c r="F23" s="22"/>
      <c r="G23" s="22"/>
      <c r="H23" s="22"/>
      <c r="I23" s="22"/>
      <c r="J23" s="22"/>
      <c r="K23" s="68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17"/>
    </row>
    <row r="24" spans="2:42" ht="13.5" customHeight="1" x14ac:dyDescent="0.3">
      <c r="B24" s="18">
        <v>19</v>
      </c>
      <c r="C24" s="19"/>
      <c r="D24" s="73"/>
      <c r="E24" s="68"/>
      <c r="F24" s="22"/>
      <c r="G24" s="22"/>
      <c r="H24" s="22"/>
      <c r="I24" s="22"/>
      <c r="J24" s="22"/>
      <c r="K24" s="68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17"/>
    </row>
    <row r="25" spans="2:42" ht="13.5" customHeight="1" x14ac:dyDescent="0.3">
      <c r="B25" s="18">
        <v>20</v>
      </c>
      <c r="C25" s="69"/>
      <c r="D25" s="73"/>
      <c r="E25" s="68"/>
      <c r="F25" s="22"/>
      <c r="G25" s="22"/>
      <c r="H25" s="22"/>
      <c r="I25" s="22"/>
      <c r="J25" s="22"/>
      <c r="K25" s="68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17"/>
    </row>
    <row r="26" spans="2:42" ht="13.5" customHeight="1" x14ac:dyDescent="0.3">
      <c r="B26" s="18">
        <v>21</v>
      </c>
      <c r="C26" s="69"/>
      <c r="D26" s="73"/>
      <c r="E26" s="68"/>
      <c r="F26" s="22"/>
      <c r="G26" s="22"/>
      <c r="H26" s="22"/>
      <c r="I26" s="22"/>
      <c r="J26" s="22"/>
      <c r="K26" s="68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17"/>
    </row>
    <row r="27" spans="2:42" ht="13.5" customHeight="1" x14ac:dyDescent="0.3">
      <c r="B27" s="18">
        <v>22</v>
      </c>
      <c r="C27" s="69"/>
      <c r="D27" s="73"/>
      <c r="E27" s="68"/>
      <c r="F27" s="22"/>
      <c r="G27" s="22"/>
      <c r="H27" s="22"/>
      <c r="I27" s="22"/>
      <c r="J27" s="22"/>
      <c r="K27" s="68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17"/>
    </row>
    <row r="28" spans="2:42" ht="13.5" customHeight="1" x14ac:dyDescent="0.3">
      <c r="B28" s="18">
        <v>23</v>
      </c>
      <c r="C28" s="69"/>
      <c r="D28" s="73"/>
      <c r="E28" s="68"/>
      <c r="F28" s="22"/>
      <c r="G28" s="22"/>
      <c r="H28" s="22"/>
      <c r="I28" s="22"/>
      <c r="J28" s="22"/>
      <c r="K28" s="68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17"/>
    </row>
    <row r="29" spans="2:42" ht="13.5" customHeight="1" x14ac:dyDescent="0.3">
      <c r="B29" s="18">
        <v>24</v>
      </c>
      <c r="C29" s="69"/>
      <c r="D29" s="73"/>
      <c r="E29" s="68"/>
      <c r="F29" s="22"/>
      <c r="G29" s="22"/>
      <c r="H29" s="22"/>
      <c r="I29" s="22"/>
      <c r="J29" s="22"/>
      <c r="K29" s="68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17"/>
    </row>
    <row r="30" spans="2:42" ht="13.5" customHeight="1" x14ac:dyDescent="0.3">
      <c r="B30" s="18">
        <v>25</v>
      </c>
      <c r="C30" s="69"/>
      <c r="D30" s="73"/>
      <c r="E30" s="68"/>
      <c r="F30" s="22"/>
      <c r="G30" s="22"/>
      <c r="H30" s="22"/>
      <c r="I30" s="22"/>
      <c r="J30" s="22"/>
      <c r="K30" s="68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17"/>
    </row>
    <row r="31" spans="2:42" ht="13.5" customHeight="1" x14ac:dyDescent="0.3">
      <c r="B31" s="18">
        <v>26</v>
      </c>
      <c r="C31" s="69"/>
      <c r="D31" s="73"/>
      <c r="E31" s="68"/>
      <c r="F31" s="22"/>
      <c r="G31" s="22"/>
      <c r="H31" s="22"/>
      <c r="I31" s="22"/>
      <c r="J31" s="22"/>
      <c r="K31" s="68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17"/>
    </row>
    <row r="32" spans="2:42" ht="13.5" customHeight="1" x14ac:dyDescent="0.3">
      <c r="B32" s="18">
        <v>27</v>
      </c>
      <c r="C32" s="69"/>
      <c r="D32" s="73"/>
      <c r="E32" s="68"/>
      <c r="F32" s="22"/>
      <c r="G32" s="22"/>
      <c r="H32" s="22"/>
      <c r="I32" s="22"/>
      <c r="J32" s="22"/>
      <c r="K32" s="68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17"/>
    </row>
    <row r="33" spans="2:42" ht="13.5" customHeight="1" x14ac:dyDescent="0.3">
      <c r="B33" s="18">
        <v>28</v>
      </c>
      <c r="C33" s="69"/>
      <c r="D33" s="73"/>
      <c r="E33" s="68"/>
      <c r="F33" s="22"/>
      <c r="G33" s="22"/>
      <c r="H33" s="22"/>
      <c r="I33" s="22"/>
      <c r="J33" s="22"/>
      <c r="K33" s="68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17"/>
    </row>
    <row r="34" spans="2:42" ht="13.5" customHeight="1" x14ac:dyDescent="0.3">
      <c r="B34" s="18">
        <v>29</v>
      </c>
      <c r="C34" s="69"/>
      <c r="D34" s="73"/>
      <c r="E34" s="68"/>
      <c r="F34" s="22"/>
      <c r="G34" s="22"/>
      <c r="H34" s="22"/>
      <c r="I34" s="22"/>
      <c r="J34" s="22"/>
      <c r="K34" s="68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17"/>
    </row>
    <row r="35" spans="2:42" ht="13.5" customHeight="1" x14ac:dyDescent="0.3">
      <c r="B35" s="18">
        <v>30</v>
      </c>
      <c r="C35" s="69"/>
      <c r="D35" s="73"/>
      <c r="E35" s="68"/>
      <c r="F35" s="22"/>
      <c r="G35" s="22"/>
      <c r="H35" s="22"/>
      <c r="I35" s="22"/>
      <c r="J35" s="22"/>
      <c r="K35" s="68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17"/>
    </row>
    <row r="36" spans="2:42" ht="13.5" customHeight="1" x14ac:dyDescent="0.3">
      <c r="B36" s="18">
        <v>31</v>
      </c>
      <c r="C36" s="69"/>
      <c r="D36" s="73"/>
      <c r="E36" s="68"/>
      <c r="F36" s="22"/>
      <c r="G36" s="22"/>
      <c r="H36" s="22"/>
      <c r="I36" s="22"/>
      <c r="J36" s="22"/>
      <c r="K36" s="68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17"/>
    </row>
    <row r="37" spans="2:42" ht="13.5" customHeight="1" x14ac:dyDescent="0.3">
      <c r="B37" s="18">
        <v>32</v>
      </c>
      <c r="C37" s="69"/>
      <c r="D37" s="73"/>
      <c r="E37" s="68"/>
      <c r="F37" s="22"/>
      <c r="G37" s="22"/>
      <c r="H37" s="22"/>
      <c r="I37" s="22"/>
      <c r="J37" s="22"/>
      <c r="K37" s="68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17"/>
    </row>
    <row r="38" spans="2:42" ht="13.5" customHeight="1" x14ac:dyDescent="0.3">
      <c r="B38" s="18">
        <v>33</v>
      </c>
      <c r="C38" s="69"/>
      <c r="D38" s="73"/>
      <c r="E38" s="68"/>
      <c r="F38" s="22"/>
      <c r="G38" s="22"/>
      <c r="H38" s="22"/>
      <c r="I38" s="22"/>
      <c r="J38" s="22"/>
      <c r="K38" s="68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17"/>
    </row>
    <row r="39" spans="2:42" ht="13.5" customHeight="1" x14ac:dyDescent="0.3">
      <c r="B39" s="18"/>
      <c r="C39" s="69"/>
      <c r="D39" s="73"/>
      <c r="E39" s="68"/>
      <c r="F39" s="22"/>
      <c r="G39" s="22"/>
      <c r="H39" s="22"/>
      <c r="I39" s="22"/>
      <c r="J39" s="22"/>
      <c r="K39" s="68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17"/>
    </row>
    <row r="40" spans="2:42" ht="13.5" customHeight="1" x14ac:dyDescent="0.3">
      <c r="B40" s="18"/>
      <c r="C40" s="69"/>
      <c r="D40" s="73"/>
      <c r="E40" s="23"/>
      <c r="F40" s="24"/>
      <c r="G40" s="24"/>
      <c r="H40" s="24"/>
      <c r="I40" s="24"/>
      <c r="J40" s="24"/>
      <c r="K40" s="23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5"/>
    </row>
    <row r="41" spans="2:42" ht="15" customHeight="1" x14ac:dyDescent="0.3">
      <c r="B41" s="77" t="s">
        <v>68</v>
      </c>
      <c r="C41" s="78"/>
      <c r="D41" s="26">
        <v>0</v>
      </c>
      <c r="E41" s="27">
        <f t="shared" ref="E41:J41" si="0">SUM(E6:E40)</f>
        <v>0</v>
      </c>
      <c r="F41" s="28">
        <f t="shared" si="0"/>
        <v>0</v>
      </c>
      <c r="G41" s="28">
        <f t="shared" si="0"/>
        <v>0</v>
      </c>
      <c r="H41" s="28">
        <f t="shared" si="0"/>
        <v>0</v>
      </c>
      <c r="I41" s="28">
        <f t="shared" si="0"/>
        <v>2</v>
      </c>
      <c r="J41" s="28">
        <f t="shared" si="0"/>
        <v>2</v>
      </c>
      <c r="K41" s="28">
        <f t="shared" ref="K41:Q41" si="1">SUM(K6:K40)</f>
        <v>1</v>
      </c>
      <c r="L41" s="28">
        <f t="shared" si="1"/>
        <v>0</v>
      </c>
      <c r="M41" s="28">
        <f t="shared" si="1"/>
        <v>0</v>
      </c>
      <c r="N41" s="28">
        <f t="shared" si="1"/>
        <v>1</v>
      </c>
      <c r="O41" s="28">
        <f t="shared" si="1"/>
        <v>2</v>
      </c>
      <c r="P41" s="28">
        <f t="shared" si="1"/>
        <v>2</v>
      </c>
      <c r="Q41" s="28">
        <f t="shared" si="1"/>
        <v>2</v>
      </c>
      <c r="R41" s="28">
        <f>SUM(R6:R40)</f>
        <v>0</v>
      </c>
      <c r="S41" s="28">
        <f>SUM(S6:S40)</f>
        <v>0</v>
      </c>
      <c r="T41" s="28">
        <f t="shared" ref="T41:V41" si="2">SUM(T6:T40)</f>
        <v>0</v>
      </c>
      <c r="U41" s="28">
        <f t="shared" si="2"/>
        <v>0</v>
      </c>
      <c r="V41" s="28">
        <f t="shared" si="2"/>
        <v>0</v>
      </c>
      <c r="W41" s="28">
        <f>SUM(W6:W40)</f>
        <v>0</v>
      </c>
      <c r="X41" s="28">
        <f t="shared" ref="X41:AC41" si="3">SUM(X6:X40)</f>
        <v>0</v>
      </c>
      <c r="Y41" s="28">
        <f t="shared" si="3"/>
        <v>0</v>
      </c>
      <c r="Z41" s="28">
        <f t="shared" si="3"/>
        <v>0</v>
      </c>
      <c r="AA41" s="28">
        <f t="shared" si="3"/>
        <v>0</v>
      </c>
      <c r="AB41" s="28">
        <f t="shared" si="3"/>
        <v>0</v>
      </c>
      <c r="AC41" s="28">
        <f t="shared" si="3"/>
        <v>0</v>
      </c>
      <c r="AD41" s="28">
        <f>SUM(AD6:AD40)</f>
        <v>0</v>
      </c>
      <c r="AE41" s="28">
        <f t="shared" ref="AE41:AP41" si="4">SUM(AE6:AE40)</f>
        <v>0</v>
      </c>
      <c r="AF41" s="28">
        <f t="shared" si="4"/>
        <v>0</v>
      </c>
      <c r="AG41" s="28">
        <f t="shared" si="4"/>
        <v>0</v>
      </c>
      <c r="AH41" s="28">
        <f t="shared" si="4"/>
        <v>0</v>
      </c>
      <c r="AI41" s="28">
        <f t="shared" si="4"/>
        <v>0</v>
      </c>
      <c r="AJ41" s="28">
        <f t="shared" si="4"/>
        <v>0</v>
      </c>
      <c r="AK41" s="28">
        <f t="shared" si="4"/>
        <v>0</v>
      </c>
      <c r="AL41" s="28">
        <f t="shared" si="4"/>
        <v>0</v>
      </c>
      <c r="AM41" s="28">
        <f t="shared" si="4"/>
        <v>0</v>
      </c>
      <c r="AN41" s="28">
        <f t="shared" si="4"/>
        <v>0</v>
      </c>
      <c r="AO41" s="28">
        <f t="shared" si="4"/>
        <v>0</v>
      </c>
      <c r="AP41" s="29">
        <f t="shared" si="4"/>
        <v>0</v>
      </c>
    </row>
    <row r="42" spans="2:42" ht="13.5" customHeight="1" x14ac:dyDescent="0.3">
      <c r="B42" s="79" t="s">
        <v>69</v>
      </c>
      <c r="C42" s="80"/>
      <c r="D42" s="30">
        <f>SUM(D6:D41)</f>
        <v>52</v>
      </c>
      <c r="E42" s="31">
        <f>D42-SUM(E6:E40)</f>
        <v>52</v>
      </c>
      <c r="F42" s="32">
        <f>E42-SUM(F6:F40)</f>
        <v>52</v>
      </c>
      <c r="G42" s="32">
        <f>F42-SUM(G6:G40)</f>
        <v>52</v>
      </c>
      <c r="H42" s="32">
        <f>G42-SUM(H6:H40)</f>
        <v>52</v>
      </c>
      <c r="I42" s="32">
        <f>H42-SUM(I6:I40)</f>
        <v>50</v>
      </c>
      <c r="J42" s="32">
        <f t="shared" ref="J42" si="5">I42-SUM(J6:J40)</f>
        <v>48</v>
      </c>
      <c r="K42" s="32">
        <f>J42-SUM(K6:K40)</f>
        <v>47</v>
      </c>
      <c r="L42" s="32">
        <f>K42-SUM(L6:L40)</f>
        <v>47</v>
      </c>
      <c r="M42" s="32">
        <f>L42-SUM(M6:M40)</f>
        <v>47</v>
      </c>
      <c r="N42" s="32">
        <f>M42-SUM(N6:N40)</f>
        <v>46</v>
      </c>
      <c r="O42" s="32">
        <f>N42-SUM(O6:O40)</f>
        <v>44</v>
      </c>
      <c r="P42" s="32">
        <f t="shared" ref="P42" si="6">O42-SUM(P6:P40)</f>
        <v>42</v>
      </c>
      <c r="Q42" s="32">
        <f t="shared" ref="Q42" si="7">P42-SUM(Q6:Q40)</f>
        <v>40</v>
      </c>
      <c r="R42" s="32">
        <f t="shared" ref="R42" si="8">Q42-SUM(R6:R40)</f>
        <v>40</v>
      </c>
      <c r="S42" s="32">
        <f t="shared" ref="S42" si="9">R42-SUM(S6:S40)</f>
        <v>40</v>
      </c>
      <c r="T42" s="32">
        <f t="shared" ref="T42" si="10">S42-SUM(T6:T40)</f>
        <v>40</v>
      </c>
      <c r="U42" s="32">
        <f t="shared" ref="U42" si="11">T42-SUM(U6:U40)</f>
        <v>40</v>
      </c>
      <c r="V42" s="32">
        <f>U42-SUM(V6:V40)</f>
        <v>40</v>
      </c>
      <c r="W42" s="32">
        <f>V42-SUM(W6:W40)</f>
        <v>40</v>
      </c>
      <c r="X42" s="32">
        <f t="shared" ref="X42" si="12">W42-SUM(X6:X40)</f>
        <v>40</v>
      </c>
      <c r="Y42" s="32">
        <f>X42-SUM(Y6:Y40)</f>
        <v>40</v>
      </c>
      <c r="Z42" s="32">
        <f t="shared" ref="Z42" si="13">Y42-SUM(Z6:Z40)</f>
        <v>40</v>
      </c>
      <c r="AA42" s="32">
        <f t="shared" ref="AA42" si="14">Z42-SUM(AA6:AA40)</f>
        <v>40</v>
      </c>
      <c r="AB42" s="32">
        <f t="shared" ref="AB42" si="15">AA42-SUM(AB6:AB40)</f>
        <v>40</v>
      </c>
      <c r="AC42" s="32">
        <f>AB42-SUM(AC6:AC40)</f>
        <v>40</v>
      </c>
      <c r="AD42" s="32">
        <f t="shared" ref="AD42" si="16">AC42-SUM(AD6:AD40)</f>
        <v>40</v>
      </c>
      <c r="AE42" s="32">
        <f t="shared" ref="AE42" si="17">AD42-SUM(AE6:AE40)</f>
        <v>40</v>
      </c>
      <c r="AF42" s="32">
        <f>AE42-SUM(AF6:AF40)</f>
        <v>40</v>
      </c>
      <c r="AG42" s="32">
        <f t="shared" ref="AG42" si="18">AF42-SUM(AG6:AG40)</f>
        <v>40</v>
      </c>
      <c r="AH42" s="32">
        <f t="shared" ref="AH42" si="19">AG42-SUM(AH6:AH40)</f>
        <v>40</v>
      </c>
      <c r="AI42" s="32">
        <f t="shared" ref="AI42" si="20">AH42-SUM(AI6:AI40)</f>
        <v>40</v>
      </c>
      <c r="AJ42" s="32">
        <f t="shared" ref="AJ42" si="21">AI42-SUM(AJ6:AJ40)</f>
        <v>40</v>
      </c>
      <c r="AK42" s="32">
        <f t="shared" ref="AK42" si="22">AJ42-SUM(AK6:AK40)</f>
        <v>40</v>
      </c>
      <c r="AL42" s="32">
        <f t="shared" ref="AL42" si="23">AK42-SUM(AL6:AL40)</f>
        <v>40</v>
      </c>
      <c r="AM42" s="32">
        <f t="shared" ref="AM42" si="24">AL42-SUM(AM6:AM40)</f>
        <v>40</v>
      </c>
      <c r="AN42" s="32">
        <f t="shared" ref="AN42" si="25">AM42-SUM(AN6:AN40)</f>
        <v>40</v>
      </c>
      <c r="AO42" s="32">
        <f t="shared" ref="AO42" si="26">AN42-SUM(AO6:AO40)</f>
        <v>40</v>
      </c>
      <c r="AP42" s="33">
        <f t="shared" ref="AP42" si="27">AO42-SUM(AP6:AP40)</f>
        <v>40</v>
      </c>
    </row>
    <row r="43" spans="2:42" ht="13.5" customHeight="1" x14ac:dyDescent="0.3">
      <c r="B43" s="81" t="s">
        <v>70</v>
      </c>
      <c r="C43" s="82"/>
      <c r="D43" s="34">
        <f>D42</f>
        <v>52</v>
      </c>
      <c r="E43" s="35">
        <f>$D$43-($D$43/38*1)</f>
        <v>50.631578947368418</v>
      </c>
      <c r="F43" s="36">
        <f>$D$43-($D$43/38*2)</f>
        <v>49.263157894736842</v>
      </c>
      <c r="G43" s="36">
        <f>$D$43-($D$43/38*3)</f>
        <v>47.89473684210526</v>
      </c>
      <c r="H43" s="36">
        <f>$D$43-($D$43/38*4)</f>
        <v>46.526315789473685</v>
      </c>
      <c r="I43" s="36">
        <f>$D$43-($D$43/38*5)</f>
        <v>45.157894736842103</v>
      </c>
      <c r="J43" s="36">
        <f>$D$43-($D$43/38*6)</f>
        <v>43.789473684210527</v>
      </c>
      <c r="K43" s="36">
        <f>$D$43-($D$43/38*7)</f>
        <v>42.421052631578945</v>
      </c>
      <c r="L43" s="36">
        <f>$D$43-($D$43/38*8)</f>
        <v>41.05263157894737</v>
      </c>
      <c r="M43" s="36">
        <f>$D$43-($D$43/38*9)</f>
        <v>39.684210526315788</v>
      </c>
      <c r="N43" s="36">
        <f>$D$43-($D$43/38*10)</f>
        <v>38.315789473684212</v>
      </c>
      <c r="O43" s="36">
        <f>$D$43-($D$43/38*11)</f>
        <v>36.94736842105263</v>
      </c>
      <c r="P43" s="36">
        <f>$D$43-($D$43/38*12)</f>
        <v>35.578947368421055</v>
      </c>
      <c r="Q43" s="36">
        <f>$D$43-($D$43/38*13)</f>
        <v>34.210526315789473</v>
      </c>
      <c r="R43" s="36">
        <f>$D$43-($D$43/38*14)</f>
        <v>32.84210526315789</v>
      </c>
      <c r="S43" s="36">
        <f>$D$43-($D$43/38*15)</f>
        <v>31.473684210526315</v>
      </c>
      <c r="T43" s="36">
        <f>$D$43-($D$43/38*16)</f>
        <v>30.105263157894736</v>
      </c>
      <c r="U43" s="36">
        <f>$D$43-($D$43/38*17)</f>
        <v>28.736842105263158</v>
      </c>
      <c r="V43" s="36">
        <f>$D$43-($D$43/38*18)</f>
        <v>27.368421052631579</v>
      </c>
      <c r="W43" s="36">
        <f>$D$43-($D$43/38*19)</f>
        <v>26</v>
      </c>
      <c r="X43" s="36">
        <f>$D$43-($D$43/38*20)</f>
        <v>24.631578947368421</v>
      </c>
      <c r="Y43" s="36">
        <f>$D$43-($D$43/38*21)</f>
        <v>23.263157894736842</v>
      </c>
      <c r="Z43" s="36">
        <f>$D$43-($D$43/38*22)</f>
        <v>21.894736842105264</v>
      </c>
      <c r="AA43" s="36">
        <f>$D$43-($D$43/38*23)</f>
        <v>20.526315789473685</v>
      </c>
      <c r="AB43" s="36">
        <f>$D$43-($D$43/38*24)</f>
        <v>19.157894736842103</v>
      </c>
      <c r="AC43" s="36">
        <f>$D$43-($D$43/38*25)</f>
        <v>17.789473684210527</v>
      </c>
      <c r="AD43" s="36">
        <f>$D$43-($D$43/38*26)</f>
        <v>16.421052631578945</v>
      </c>
      <c r="AE43" s="36">
        <f>$D$43-($D$43/38*27)</f>
        <v>15.05263157894737</v>
      </c>
      <c r="AF43" s="36">
        <f>$D$43-($D$43/38*28)</f>
        <v>13.684210526315788</v>
      </c>
      <c r="AG43" s="36">
        <f>$D$43-($D$43/38*29)</f>
        <v>12.315789473684212</v>
      </c>
      <c r="AH43" s="36">
        <f>$D$43-($D$43/38*30)</f>
        <v>10.94736842105263</v>
      </c>
      <c r="AI43" s="36">
        <f>$D$43-($D$43/38*31)</f>
        <v>9.5789473684210549</v>
      </c>
      <c r="AJ43" s="37">
        <f>$D$43-($D$43/38*32)</f>
        <v>8.2105263157894726</v>
      </c>
      <c r="AK43" s="36">
        <f>$D$43-($D$43/38*33)</f>
        <v>6.8421052631578902</v>
      </c>
      <c r="AL43" s="36">
        <f>$D$43-($D$43/38*34)</f>
        <v>5.473684210526315</v>
      </c>
      <c r="AM43" s="36">
        <f>$D$43-($D$43/38*35)</f>
        <v>4.1052631578947327</v>
      </c>
      <c r="AN43" s="36">
        <f>$D$43-($D$43/38*36)</f>
        <v>2.7368421052631575</v>
      </c>
      <c r="AO43" s="36">
        <f>$D$43-($D$43/38*37)</f>
        <v>1.3684210526315752</v>
      </c>
      <c r="AP43" s="37">
        <f>$D$43-($D$43/38*38)</f>
        <v>0</v>
      </c>
    </row>
    <row r="44" spans="2:42" ht="13.5" customHeight="1" x14ac:dyDescent="0.3">
      <c r="Q44" s="38" t="s">
        <v>71</v>
      </c>
    </row>
    <row r="45" spans="2:42" ht="13.5" customHeight="1" x14ac:dyDescent="0.3"/>
    <row r="46" spans="2:42" ht="13.5" customHeight="1" x14ac:dyDescent="0.3"/>
    <row r="47" spans="2:42" ht="13.5" customHeight="1" x14ac:dyDescent="0.3"/>
    <row r="48" spans="2:42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8">
    <mergeCell ref="B42:C42"/>
    <mergeCell ref="B43:C43"/>
    <mergeCell ref="B2:AP2"/>
    <mergeCell ref="B3:K3"/>
    <mergeCell ref="B4:B5"/>
    <mergeCell ref="C4:C5"/>
    <mergeCell ref="D4:D5"/>
    <mergeCell ref="B41:C41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1000"/>
  <sheetViews>
    <sheetView topLeftCell="A21" zoomScale="71" zoomScaleNormal="115" workbookViewId="0">
      <selection activeCell="L38" sqref="L38"/>
    </sheetView>
  </sheetViews>
  <sheetFormatPr defaultColWidth="14.44140625" defaultRowHeight="15" customHeight="1" x14ac:dyDescent="0.3"/>
  <cols>
    <col min="1" max="2" width="10.5546875" customWidth="1"/>
    <col min="3" max="3" width="42.109375" customWidth="1"/>
    <col min="4" max="4" width="21" customWidth="1"/>
    <col min="5" max="5" width="20.44140625" customWidth="1"/>
    <col min="6" max="6" width="35.109375" customWidth="1"/>
    <col min="7" max="11" width="10.5546875" customWidth="1"/>
    <col min="12" max="12" width="25.44140625" customWidth="1"/>
    <col min="13" max="13" width="9" customWidth="1"/>
    <col min="14" max="14" width="61.88671875" customWidth="1"/>
    <col min="15" max="26" width="10.5546875" customWidth="1"/>
  </cols>
  <sheetData>
    <row r="1" spans="2:12" ht="14.4" x14ac:dyDescent="0.3">
      <c r="B1" s="49"/>
    </row>
    <row r="2" spans="2:12" ht="23.4" x14ac:dyDescent="0.45">
      <c r="B2" s="96" t="s">
        <v>106</v>
      </c>
      <c r="C2" s="84"/>
      <c r="D2" s="84"/>
      <c r="E2" s="84"/>
      <c r="F2" s="84"/>
      <c r="G2" s="84"/>
      <c r="H2" s="85"/>
      <c r="L2" s="8" t="s">
        <v>107</v>
      </c>
    </row>
    <row r="3" spans="2:12" ht="14.4" x14ac:dyDescent="0.3">
      <c r="B3" s="97" t="s">
        <v>108</v>
      </c>
      <c r="C3" s="99" t="s">
        <v>109</v>
      </c>
      <c r="D3" s="99" t="s">
        <v>110</v>
      </c>
      <c r="E3" s="99" t="s">
        <v>111</v>
      </c>
      <c r="F3" s="99" t="s">
        <v>112</v>
      </c>
      <c r="G3" s="99" t="s">
        <v>113</v>
      </c>
      <c r="H3" s="101" t="s">
        <v>114</v>
      </c>
    </row>
    <row r="4" spans="2:12" ht="14.4" x14ac:dyDescent="0.3">
      <c r="B4" s="98"/>
      <c r="C4" s="100"/>
      <c r="D4" s="100"/>
      <c r="E4" s="100"/>
      <c r="F4" s="100"/>
      <c r="G4" s="100"/>
      <c r="H4" s="102"/>
      <c r="L4" s="8" t="s">
        <v>115</v>
      </c>
    </row>
    <row r="5" spans="2:12" ht="14.4" x14ac:dyDescent="0.3">
      <c r="B5" s="9">
        <v>1</v>
      </c>
      <c r="C5" s="10" t="s">
        <v>34</v>
      </c>
      <c r="D5" s="50" t="s">
        <v>116</v>
      </c>
      <c r="E5" s="50">
        <v>3</v>
      </c>
      <c r="F5" s="50" t="s">
        <v>117</v>
      </c>
      <c r="G5" s="51">
        <v>45930</v>
      </c>
      <c r="H5" s="74">
        <f t="shared" ref="H5:H24" si="0">G5+E5-1</f>
        <v>45932</v>
      </c>
    </row>
    <row r="6" spans="2:12" ht="14.4" x14ac:dyDescent="0.3">
      <c r="B6" s="14">
        <v>2</v>
      </c>
      <c r="C6" s="15" t="s">
        <v>35</v>
      </c>
      <c r="D6" s="52" t="s">
        <v>116</v>
      </c>
      <c r="E6" s="52">
        <v>3</v>
      </c>
      <c r="F6" s="52" t="s">
        <v>118</v>
      </c>
      <c r="G6" s="61">
        <v>45931</v>
      </c>
      <c r="H6" s="74">
        <f t="shared" si="0"/>
        <v>45933</v>
      </c>
      <c r="L6" s="53" t="s">
        <v>119</v>
      </c>
    </row>
    <row r="7" spans="2:12" ht="14.4" x14ac:dyDescent="0.3">
      <c r="B7" s="14">
        <v>3</v>
      </c>
      <c r="C7" s="15" t="s">
        <v>37</v>
      </c>
      <c r="D7" s="52" t="s">
        <v>116</v>
      </c>
      <c r="E7" s="52">
        <v>3</v>
      </c>
      <c r="F7" s="52" t="s">
        <v>120</v>
      </c>
      <c r="G7" s="61">
        <v>45930</v>
      </c>
      <c r="H7" s="74">
        <f t="shared" si="0"/>
        <v>45932</v>
      </c>
    </row>
    <row r="8" spans="2:12" ht="14.4" x14ac:dyDescent="0.3">
      <c r="B8" s="14">
        <v>4</v>
      </c>
      <c r="C8" s="15" t="s">
        <v>38</v>
      </c>
      <c r="D8" s="52" t="s">
        <v>116</v>
      </c>
      <c r="E8" s="52">
        <v>3</v>
      </c>
      <c r="F8" s="52" t="s">
        <v>121</v>
      </c>
      <c r="G8" s="61">
        <v>45931</v>
      </c>
      <c r="H8" s="74">
        <f t="shared" si="0"/>
        <v>45933</v>
      </c>
    </row>
    <row r="9" spans="2:12" ht="14.4" x14ac:dyDescent="0.3">
      <c r="B9" s="14">
        <v>5</v>
      </c>
      <c r="C9" s="15" t="s">
        <v>39</v>
      </c>
      <c r="D9" s="52" t="s">
        <v>116</v>
      </c>
      <c r="E9" s="52">
        <v>3</v>
      </c>
      <c r="F9" s="52" t="s">
        <v>122</v>
      </c>
      <c r="G9" s="61">
        <v>45932</v>
      </c>
      <c r="H9" s="74">
        <f t="shared" si="0"/>
        <v>45934</v>
      </c>
    </row>
    <row r="10" spans="2:12" ht="14.4" x14ac:dyDescent="0.3">
      <c r="B10" s="54">
        <v>6</v>
      </c>
      <c r="C10" s="19" t="s">
        <v>40</v>
      </c>
      <c r="D10" s="22" t="s">
        <v>123</v>
      </c>
      <c r="E10" s="22">
        <v>6</v>
      </c>
      <c r="F10" s="22" t="s">
        <v>124</v>
      </c>
      <c r="G10" s="55">
        <v>45935</v>
      </c>
      <c r="H10" s="66">
        <f t="shared" si="0"/>
        <v>45940</v>
      </c>
    </row>
    <row r="11" spans="2:12" ht="14.4" x14ac:dyDescent="0.3">
      <c r="B11" s="54">
        <v>7</v>
      </c>
      <c r="C11" s="19" t="s">
        <v>41</v>
      </c>
      <c r="D11" s="22" t="s">
        <v>125</v>
      </c>
      <c r="E11" s="22">
        <v>3</v>
      </c>
      <c r="F11" s="22" t="s">
        <v>124</v>
      </c>
      <c r="G11" s="55">
        <v>45946</v>
      </c>
      <c r="H11" s="66">
        <f t="shared" si="0"/>
        <v>45948</v>
      </c>
    </row>
    <row r="12" spans="2:12" ht="28.8" x14ac:dyDescent="0.3">
      <c r="B12" s="54">
        <v>8</v>
      </c>
      <c r="C12" s="19" t="s">
        <v>177</v>
      </c>
      <c r="D12" s="22" t="s">
        <v>123</v>
      </c>
      <c r="E12" s="22">
        <v>6</v>
      </c>
      <c r="F12" s="56" t="s">
        <v>126</v>
      </c>
      <c r="G12" s="55">
        <v>45935</v>
      </c>
      <c r="H12" s="66">
        <f t="shared" si="0"/>
        <v>45940</v>
      </c>
    </row>
    <row r="13" spans="2:12" ht="28.8" x14ac:dyDescent="0.3">
      <c r="B13" s="54">
        <v>9</v>
      </c>
      <c r="C13" s="19" t="s">
        <v>43</v>
      </c>
      <c r="D13" s="22" t="s">
        <v>127</v>
      </c>
      <c r="E13" s="22">
        <v>3</v>
      </c>
      <c r="F13" s="57" t="s">
        <v>126</v>
      </c>
      <c r="G13" s="55">
        <v>45945</v>
      </c>
      <c r="H13" s="66">
        <f t="shared" si="0"/>
        <v>45947</v>
      </c>
    </row>
    <row r="14" spans="2:12" ht="14.4" x14ac:dyDescent="0.3">
      <c r="B14" s="54">
        <v>10</v>
      </c>
      <c r="C14" s="19" t="s">
        <v>44</v>
      </c>
      <c r="D14" s="22" t="s">
        <v>116</v>
      </c>
      <c r="E14" s="22">
        <v>1</v>
      </c>
      <c r="F14" s="22" t="s">
        <v>118</v>
      </c>
      <c r="G14" s="55">
        <v>45937</v>
      </c>
      <c r="H14" s="66">
        <f t="shared" si="0"/>
        <v>45937</v>
      </c>
    </row>
    <row r="15" spans="2:12" ht="14.4" x14ac:dyDescent="0.3">
      <c r="B15" s="54">
        <v>11</v>
      </c>
      <c r="C15" s="19" t="s">
        <v>45</v>
      </c>
      <c r="D15" s="22" t="s">
        <v>116</v>
      </c>
      <c r="E15" s="22">
        <v>1</v>
      </c>
      <c r="F15" s="22" t="s">
        <v>118</v>
      </c>
      <c r="G15" s="55">
        <v>45936</v>
      </c>
      <c r="H15" s="66">
        <f t="shared" si="0"/>
        <v>45936</v>
      </c>
    </row>
    <row r="16" spans="2:12" ht="14.4" x14ac:dyDescent="0.3">
      <c r="B16" s="54">
        <v>12</v>
      </c>
      <c r="C16" s="19" t="s">
        <v>46</v>
      </c>
      <c r="D16" s="22" t="s">
        <v>116</v>
      </c>
      <c r="E16" s="22">
        <v>1</v>
      </c>
      <c r="F16" s="22" t="s">
        <v>121</v>
      </c>
      <c r="G16" s="55">
        <v>45937</v>
      </c>
      <c r="H16" s="66">
        <f t="shared" si="0"/>
        <v>45937</v>
      </c>
    </row>
    <row r="17" spans="2:12" ht="14.4" x14ac:dyDescent="0.3">
      <c r="B17" s="54">
        <v>13</v>
      </c>
      <c r="C17" s="19" t="s">
        <v>47</v>
      </c>
      <c r="D17" s="22" t="s">
        <v>116</v>
      </c>
      <c r="E17" s="22">
        <v>1</v>
      </c>
      <c r="F17" s="22" t="s">
        <v>121</v>
      </c>
      <c r="G17" s="55">
        <v>45935</v>
      </c>
      <c r="H17" s="66">
        <f t="shared" si="0"/>
        <v>45935</v>
      </c>
    </row>
    <row r="18" spans="2:12" ht="14.4" x14ac:dyDescent="0.3">
      <c r="B18" s="54">
        <v>14</v>
      </c>
      <c r="C18" s="19" t="s">
        <v>48</v>
      </c>
      <c r="D18" s="22" t="s">
        <v>116</v>
      </c>
      <c r="E18" s="22">
        <v>1</v>
      </c>
      <c r="F18" s="22" t="s">
        <v>122</v>
      </c>
      <c r="G18" s="55">
        <v>45936</v>
      </c>
      <c r="H18" s="66">
        <f t="shared" si="0"/>
        <v>45936</v>
      </c>
    </row>
    <row r="19" spans="2:12" ht="14.4" x14ac:dyDescent="0.3">
      <c r="B19" s="54">
        <v>15</v>
      </c>
      <c r="C19" s="19" t="s">
        <v>49</v>
      </c>
      <c r="D19" s="22" t="s">
        <v>116</v>
      </c>
      <c r="E19" s="22">
        <v>1</v>
      </c>
      <c r="F19" s="22" t="s">
        <v>122</v>
      </c>
      <c r="G19" s="55">
        <v>45937</v>
      </c>
      <c r="H19" s="66">
        <f t="shared" si="0"/>
        <v>45937</v>
      </c>
    </row>
    <row r="20" spans="2:12" ht="14.4" x14ac:dyDescent="0.3">
      <c r="B20" s="54">
        <v>16</v>
      </c>
      <c r="C20" s="19" t="s">
        <v>50</v>
      </c>
      <c r="D20" s="22" t="s">
        <v>116</v>
      </c>
      <c r="E20" s="22">
        <v>1</v>
      </c>
      <c r="F20" s="22" t="s">
        <v>117</v>
      </c>
      <c r="G20" s="55">
        <v>45935</v>
      </c>
      <c r="H20" s="66">
        <f t="shared" si="0"/>
        <v>45935</v>
      </c>
    </row>
    <row r="21" spans="2:12" ht="15.75" customHeight="1" x14ac:dyDescent="0.3">
      <c r="B21" s="54">
        <v>17</v>
      </c>
      <c r="C21" s="19" t="s">
        <v>51</v>
      </c>
      <c r="D21" s="22" t="s">
        <v>116</v>
      </c>
      <c r="E21" s="22">
        <v>1</v>
      </c>
      <c r="F21" s="22" t="s">
        <v>117</v>
      </c>
      <c r="G21" s="55">
        <v>45936</v>
      </c>
      <c r="H21" s="66">
        <f t="shared" si="0"/>
        <v>45936</v>
      </c>
      <c r="L21" s="8"/>
    </row>
    <row r="22" spans="2:12" ht="15.75" customHeight="1" x14ac:dyDescent="0.3">
      <c r="B22" s="58">
        <v>18</v>
      </c>
      <c r="C22" s="20" t="s">
        <v>52</v>
      </c>
      <c r="D22" s="24" t="s">
        <v>116</v>
      </c>
      <c r="E22" s="24">
        <v>1</v>
      </c>
      <c r="F22" s="24" t="s">
        <v>120</v>
      </c>
      <c r="G22" s="59">
        <v>45936</v>
      </c>
      <c r="H22" s="66">
        <f t="shared" si="0"/>
        <v>45936</v>
      </c>
      <c r="L22" s="8"/>
    </row>
    <row r="23" spans="2:12" ht="15.75" customHeight="1" x14ac:dyDescent="0.3">
      <c r="B23" s="54">
        <v>19</v>
      </c>
      <c r="C23" s="19" t="s">
        <v>53</v>
      </c>
      <c r="D23" s="22" t="s">
        <v>116</v>
      </c>
      <c r="E23" s="22">
        <v>1</v>
      </c>
      <c r="F23" s="22" t="s">
        <v>120</v>
      </c>
      <c r="G23" s="55">
        <v>45935</v>
      </c>
      <c r="H23" s="66">
        <f t="shared" si="0"/>
        <v>45935</v>
      </c>
    </row>
    <row r="24" spans="2:12" ht="15.75" customHeight="1" x14ac:dyDescent="0.3">
      <c r="B24" s="60">
        <v>20</v>
      </c>
      <c r="C24" s="15" t="s">
        <v>128</v>
      </c>
      <c r="D24" s="52" t="s">
        <v>129</v>
      </c>
      <c r="E24" s="52">
        <v>3</v>
      </c>
      <c r="F24" s="52" t="s">
        <v>118</v>
      </c>
      <c r="G24" s="61">
        <v>45943</v>
      </c>
      <c r="H24" s="74">
        <f t="shared" si="0"/>
        <v>45945</v>
      </c>
    </row>
    <row r="25" spans="2:12" ht="15.75" customHeight="1" x14ac:dyDescent="0.3">
      <c r="B25" s="14">
        <v>21</v>
      </c>
      <c r="C25" s="15" t="s">
        <v>130</v>
      </c>
      <c r="D25" s="52" t="s">
        <v>131</v>
      </c>
      <c r="E25" s="52">
        <v>3</v>
      </c>
      <c r="F25" s="52" t="s">
        <v>117</v>
      </c>
      <c r="G25" s="61">
        <v>45947</v>
      </c>
      <c r="H25" s="74">
        <v>45949</v>
      </c>
    </row>
    <row r="26" spans="2:12" ht="15.75" customHeight="1" x14ac:dyDescent="0.3">
      <c r="B26" s="60">
        <v>22</v>
      </c>
      <c r="C26" s="15" t="s">
        <v>132</v>
      </c>
      <c r="D26" s="52" t="s">
        <v>133</v>
      </c>
      <c r="E26" s="52">
        <v>3</v>
      </c>
      <c r="F26" s="52" t="s">
        <v>120</v>
      </c>
      <c r="G26" s="61">
        <v>45944</v>
      </c>
      <c r="H26" s="74">
        <f>G26+E26-1</f>
        <v>45946</v>
      </c>
    </row>
    <row r="27" spans="2:12" ht="15.75" customHeight="1" x14ac:dyDescent="0.3">
      <c r="B27" s="14">
        <v>23</v>
      </c>
      <c r="C27" s="15" t="s">
        <v>134</v>
      </c>
      <c r="D27" s="52" t="s">
        <v>135</v>
      </c>
      <c r="E27" s="52">
        <v>3</v>
      </c>
      <c r="F27" s="52" t="s">
        <v>121</v>
      </c>
      <c r="G27" s="61">
        <v>45947</v>
      </c>
      <c r="H27" s="74">
        <v>45948</v>
      </c>
    </row>
    <row r="28" spans="2:12" ht="15.75" customHeight="1" x14ac:dyDescent="0.3">
      <c r="B28" s="14">
        <v>24</v>
      </c>
      <c r="C28" s="15" t="s">
        <v>58</v>
      </c>
      <c r="D28" s="52" t="s">
        <v>136</v>
      </c>
      <c r="E28" s="52">
        <v>3</v>
      </c>
      <c r="F28" s="52" t="s">
        <v>122</v>
      </c>
      <c r="G28" s="61">
        <v>45946</v>
      </c>
      <c r="H28" s="74">
        <v>45952</v>
      </c>
    </row>
    <row r="29" spans="2:12" ht="15.75" customHeight="1" x14ac:dyDescent="0.3">
      <c r="B29" s="14">
        <v>25</v>
      </c>
      <c r="C29" s="15" t="s">
        <v>59</v>
      </c>
      <c r="D29" s="52" t="s">
        <v>116</v>
      </c>
      <c r="E29" s="52">
        <v>1</v>
      </c>
      <c r="F29" s="52" t="s">
        <v>137</v>
      </c>
      <c r="G29" s="61">
        <v>45948</v>
      </c>
      <c r="H29" s="74">
        <f t="shared" ref="H29:H46" si="1">G29+E29-1</f>
        <v>45948</v>
      </c>
    </row>
    <row r="30" spans="2:12" ht="15.75" customHeight="1" x14ac:dyDescent="0.3">
      <c r="B30" s="62">
        <v>26</v>
      </c>
      <c r="C30" s="19" t="s">
        <v>138</v>
      </c>
      <c r="D30" s="57" t="s">
        <v>139</v>
      </c>
      <c r="E30" s="64">
        <v>3</v>
      </c>
      <c r="F30" s="22" t="s">
        <v>124</v>
      </c>
      <c r="G30" s="65">
        <v>45950</v>
      </c>
      <c r="H30" s="66">
        <f t="shared" si="1"/>
        <v>45952</v>
      </c>
    </row>
    <row r="31" spans="2:12" ht="15.75" customHeight="1" x14ac:dyDescent="0.3">
      <c r="B31" s="62">
        <v>27</v>
      </c>
      <c r="C31" s="63" t="s">
        <v>140</v>
      </c>
      <c r="D31" s="64" t="s">
        <v>141</v>
      </c>
      <c r="E31" s="64">
        <v>3</v>
      </c>
      <c r="F31" s="22" t="s">
        <v>124</v>
      </c>
      <c r="G31" s="65">
        <v>45952</v>
      </c>
      <c r="H31" s="66">
        <f t="shared" si="1"/>
        <v>45954</v>
      </c>
    </row>
    <row r="32" spans="2:12" ht="15.75" customHeight="1" x14ac:dyDescent="0.3">
      <c r="B32" s="62">
        <v>28</v>
      </c>
      <c r="C32" s="63" t="s">
        <v>142</v>
      </c>
      <c r="D32" s="64" t="s">
        <v>143</v>
      </c>
      <c r="E32" s="64">
        <v>4</v>
      </c>
      <c r="F32" s="22" t="s">
        <v>124</v>
      </c>
      <c r="G32" s="65">
        <v>45953</v>
      </c>
      <c r="H32" s="66">
        <f t="shared" si="1"/>
        <v>45956</v>
      </c>
    </row>
    <row r="33" spans="2:15" ht="15.75" customHeight="1" x14ac:dyDescent="0.3">
      <c r="B33" s="62">
        <v>29</v>
      </c>
      <c r="C33" s="19" t="s">
        <v>144</v>
      </c>
      <c r="D33" s="64" t="s">
        <v>145</v>
      </c>
      <c r="E33" s="64">
        <v>3</v>
      </c>
      <c r="F33" s="56" t="s">
        <v>126</v>
      </c>
      <c r="G33" s="65">
        <v>45952</v>
      </c>
      <c r="H33" s="66">
        <f t="shared" si="1"/>
        <v>45954</v>
      </c>
    </row>
    <row r="34" spans="2:15" ht="15.75" customHeight="1" x14ac:dyDescent="0.3">
      <c r="B34" s="62">
        <v>30</v>
      </c>
      <c r="C34" s="63" t="s">
        <v>146</v>
      </c>
      <c r="D34" s="64" t="s">
        <v>141</v>
      </c>
      <c r="E34" s="64">
        <v>3</v>
      </c>
      <c r="F34" s="56" t="s">
        <v>126</v>
      </c>
      <c r="G34" s="65">
        <v>45950</v>
      </c>
      <c r="H34" s="66">
        <f t="shared" si="1"/>
        <v>45952</v>
      </c>
    </row>
    <row r="35" spans="2:15" ht="15.75" customHeight="1" x14ac:dyDescent="0.3">
      <c r="B35" s="62">
        <v>31</v>
      </c>
      <c r="C35" s="63" t="s">
        <v>147</v>
      </c>
      <c r="D35" s="64" t="s">
        <v>143</v>
      </c>
      <c r="E35" s="64">
        <v>4</v>
      </c>
      <c r="F35" s="56" t="s">
        <v>126</v>
      </c>
      <c r="G35" s="65">
        <v>45953</v>
      </c>
      <c r="H35" s="66">
        <f t="shared" si="1"/>
        <v>45956</v>
      </c>
    </row>
    <row r="36" spans="2:15" ht="15.75" customHeight="1" x14ac:dyDescent="0.3">
      <c r="B36" s="62">
        <v>32</v>
      </c>
      <c r="C36" s="63" t="s">
        <v>148</v>
      </c>
      <c r="D36" s="64" t="s">
        <v>141</v>
      </c>
      <c r="E36" s="64">
        <v>1</v>
      </c>
      <c r="F36" s="64" t="s">
        <v>118</v>
      </c>
      <c r="G36" s="65">
        <v>45949</v>
      </c>
      <c r="H36" s="66">
        <f t="shared" si="1"/>
        <v>45949</v>
      </c>
    </row>
    <row r="37" spans="2:15" ht="15.75" customHeight="1" x14ac:dyDescent="0.3">
      <c r="B37" s="105">
        <v>33</v>
      </c>
      <c r="C37" s="106" t="s">
        <v>176</v>
      </c>
      <c r="D37" s="107" t="s">
        <v>141</v>
      </c>
      <c r="E37" s="107">
        <v>1</v>
      </c>
      <c r="F37" s="107" t="s">
        <v>137</v>
      </c>
      <c r="G37" s="108">
        <v>45956</v>
      </c>
      <c r="H37" s="66">
        <f t="shared" si="1"/>
        <v>45956</v>
      </c>
      <c r="M37" s="8"/>
      <c r="N37" s="8"/>
      <c r="O37" s="8"/>
    </row>
    <row r="38" spans="2:15" ht="15.75" customHeight="1" x14ac:dyDescent="0.3">
      <c r="B38" s="105">
        <v>34</v>
      </c>
      <c r="C38" s="112" t="s">
        <v>167</v>
      </c>
      <c r="D38" s="113" t="s">
        <v>116</v>
      </c>
      <c r="E38" s="114">
        <v>1</v>
      </c>
      <c r="F38" s="113" t="s">
        <v>137</v>
      </c>
      <c r="G38" s="108">
        <v>45969</v>
      </c>
      <c r="H38" s="66">
        <f t="shared" si="1"/>
        <v>45969</v>
      </c>
      <c r="L38" s="8"/>
    </row>
    <row r="39" spans="2:15" ht="15.75" customHeight="1" x14ac:dyDescent="0.3">
      <c r="B39" s="105">
        <v>35</v>
      </c>
      <c r="C39" s="112" t="s">
        <v>166</v>
      </c>
      <c r="D39" s="113" t="s">
        <v>116</v>
      </c>
      <c r="E39" s="114">
        <v>3</v>
      </c>
      <c r="F39" s="113" t="s">
        <v>137</v>
      </c>
      <c r="G39" s="108">
        <v>45966</v>
      </c>
      <c r="H39" s="66">
        <f t="shared" si="1"/>
        <v>45968</v>
      </c>
      <c r="L39" s="8"/>
      <c r="M39" s="8"/>
      <c r="N39" s="8"/>
      <c r="O39" s="8"/>
    </row>
    <row r="40" spans="2:15" ht="15.75" customHeight="1" x14ac:dyDescent="0.3">
      <c r="B40" s="105">
        <v>36</v>
      </c>
      <c r="C40" s="112" t="s">
        <v>175</v>
      </c>
      <c r="D40" s="113" t="s">
        <v>178</v>
      </c>
      <c r="E40" s="114">
        <v>3</v>
      </c>
      <c r="F40" s="113" t="s">
        <v>117</v>
      </c>
      <c r="G40" s="108">
        <v>45961</v>
      </c>
      <c r="H40" s="66">
        <f t="shared" si="1"/>
        <v>45963</v>
      </c>
      <c r="L40" s="8"/>
      <c r="M40" s="8"/>
      <c r="N40" s="8"/>
      <c r="O40" s="8"/>
    </row>
    <row r="41" spans="2:15" ht="15.75" customHeight="1" x14ac:dyDescent="0.3">
      <c r="B41" s="105">
        <v>37</v>
      </c>
      <c r="C41" s="109"/>
      <c r="D41" s="114"/>
      <c r="E41" s="114"/>
      <c r="F41" s="114"/>
      <c r="G41" s="108"/>
      <c r="H41" s="66"/>
    </row>
    <row r="42" spans="2:15" ht="15.75" customHeight="1" x14ac:dyDescent="0.3">
      <c r="B42" s="105">
        <v>38</v>
      </c>
      <c r="C42" s="109"/>
      <c r="D42" s="114"/>
      <c r="E42" s="114"/>
      <c r="F42" s="114"/>
      <c r="G42" s="108"/>
      <c r="H42" s="66"/>
    </row>
    <row r="43" spans="2:15" ht="15.75" customHeight="1" x14ac:dyDescent="0.3">
      <c r="B43" s="105">
        <v>39</v>
      </c>
      <c r="C43" s="109"/>
      <c r="D43" s="114"/>
      <c r="E43" s="114"/>
      <c r="F43" s="114"/>
      <c r="G43" s="108"/>
      <c r="H43" s="66"/>
      <c r="L43" s="8"/>
      <c r="M43" s="8"/>
      <c r="N43" s="8"/>
      <c r="O43" s="8"/>
    </row>
    <row r="44" spans="2:15" ht="15.75" customHeight="1" x14ac:dyDescent="0.3">
      <c r="B44" s="105">
        <v>40</v>
      </c>
      <c r="C44" s="109"/>
      <c r="D44" s="109"/>
      <c r="E44" s="109"/>
      <c r="F44" s="109"/>
      <c r="G44" s="109"/>
      <c r="H44" s="66"/>
      <c r="L44" s="8"/>
      <c r="M44" s="8"/>
      <c r="N44" s="8"/>
      <c r="O44" s="8"/>
    </row>
    <row r="45" spans="2:15" ht="15.75" customHeight="1" x14ac:dyDescent="0.3">
      <c r="B45" s="105">
        <v>41</v>
      </c>
      <c r="C45" s="109"/>
      <c r="D45" s="109"/>
      <c r="E45" s="109"/>
      <c r="F45" s="109"/>
      <c r="G45" s="109"/>
      <c r="H45" s="66"/>
      <c r="L45" s="8"/>
      <c r="M45" s="8"/>
      <c r="N45" s="8"/>
      <c r="O45" s="8"/>
    </row>
    <row r="46" spans="2:15" ht="15.75" customHeight="1" thickBot="1" x14ac:dyDescent="0.35">
      <c r="B46" s="111">
        <v>42</v>
      </c>
      <c r="C46" s="110"/>
      <c r="D46" s="110"/>
      <c r="E46" s="110"/>
      <c r="F46" s="110"/>
      <c r="G46" s="110"/>
      <c r="H46" s="66"/>
      <c r="L46" s="8"/>
      <c r="M46" s="8"/>
      <c r="N46" s="8"/>
      <c r="O46" s="8"/>
    </row>
    <row r="47" spans="2:15" ht="15.75" customHeight="1" x14ac:dyDescent="0.3">
      <c r="L47" s="8"/>
      <c r="M47" s="8"/>
      <c r="N47" s="8"/>
      <c r="O47" s="8"/>
    </row>
    <row r="48" spans="2:15" ht="15.75" customHeight="1" x14ac:dyDescent="0.3">
      <c r="L48" s="8"/>
      <c r="M48" s="8"/>
      <c r="N48" s="8"/>
      <c r="O48" s="8"/>
    </row>
    <row r="49" spans="12:15" ht="15.75" customHeight="1" x14ac:dyDescent="0.3">
      <c r="L49" s="8"/>
      <c r="M49" s="8"/>
      <c r="N49" s="8"/>
      <c r="O49" s="8"/>
    </row>
    <row r="50" spans="12:15" ht="15.75" customHeight="1" x14ac:dyDescent="0.3">
      <c r="L50" s="8"/>
      <c r="M50" s="8"/>
      <c r="N50" s="8"/>
      <c r="O50" s="8"/>
    </row>
    <row r="51" spans="12:15" ht="15.75" customHeight="1" x14ac:dyDescent="0.3">
      <c r="L51" s="8"/>
      <c r="M51" s="8"/>
      <c r="N51" s="8"/>
      <c r="O51" s="8"/>
    </row>
    <row r="52" spans="12:15" ht="15.75" customHeight="1" x14ac:dyDescent="0.3">
      <c r="L52" s="8"/>
      <c r="M52" s="8"/>
      <c r="N52" s="8"/>
      <c r="O52" s="8"/>
    </row>
    <row r="53" spans="12:15" ht="15.75" customHeight="1" x14ac:dyDescent="0.3"/>
    <row r="54" spans="12:15" ht="15.75" customHeight="1" x14ac:dyDescent="0.3"/>
    <row r="55" spans="12:15" ht="15.75" customHeight="1" x14ac:dyDescent="0.3"/>
    <row r="56" spans="12:15" ht="15.75" customHeight="1" x14ac:dyDescent="0.3"/>
    <row r="57" spans="12:15" ht="15.75" customHeight="1" x14ac:dyDescent="0.3"/>
    <row r="58" spans="12:15" ht="15.75" customHeight="1" x14ac:dyDescent="0.3"/>
    <row r="59" spans="12:15" ht="15.75" customHeight="1" x14ac:dyDescent="0.3"/>
    <row r="60" spans="12:15" ht="15.75" customHeight="1" x14ac:dyDescent="0.3"/>
    <row r="61" spans="12:15" ht="15.75" customHeight="1" x14ac:dyDescent="0.3"/>
    <row r="62" spans="12:15" ht="15.75" customHeight="1" x14ac:dyDescent="0.3"/>
    <row r="63" spans="12:15" ht="15.75" customHeight="1" x14ac:dyDescent="0.3"/>
    <row r="64" spans="12:1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B2:H2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00"/>
  <sheetViews>
    <sheetView workbookViewId="0"/>
  </sheetViews>
  <sheetFormatPr defaultColWidth="14.44140625" defaultRowHeight="15" customHeight="1" x14ac:dyDescent="0.3"/>
  <cols>
    <col min="1" max="1" width="9" customWidth="1"/>
    <col min="2" max="2" width="7.109375" customWidth="1"/>
    <col min="3" max="3" width="73.109375" customWidth="1"/>
    <col min="4" max="4" width="16.88671875" customWidth="1"/>
    <col min="5" max="11" width="10" customWidth="1"/>
    <col min="12" max="26" width="9" customWidth="1"/>
  </cols>
  <sheetData>
    <row r="2" spans="2:14" ht="25.8" x14ac:dyDescent="0.5">
      <c r="B2" s="83" t="s">
        <v>149</v>
      </c>
      <c r="C2" s="84"/>
      <c r="D2" s="84"/>
      <c r="E2" s="84"/>
      <c r="F2" s="84"/>
      <c r="G2" s="84"/>
      <c r="H2" s="84"/>
      <c r="I2" s="84"/>
      <c r="J2" s="84"/>
      <c r="K2" s="84"/>
    </row>
    <row r="3" spans="2:14" ht="14.4" x14ac:dyDescent="0.3">
      <c r="B3" s="103"/>
      <c r="C3" s="84"/>
      <c r="D3" s="84"/>
      <c r="E3" s="84"/>
      <c r="F3" s="84"/>
      <c r="G3" s="84"/>
      <c r="H3" s="84"/>
      <c r="I3" s="84"/>
      <c r="J3" s="84"/>
      <c r="K3" s="84"/>
    </row>
    <row r="4" spans="2:14" ht="15" customHeight="1" x14ac:dyDescent="0.3">
      <c r="B4" s="88" t="s">
        <v>1</v>
      </c>
      <c r="C4" s="90" t="s">
        <v>2</v>
      </c>
      <c r="D4" s="104" t="s">
        <v>3</v>
      </c>
      <c r="E4" s="3">
        <v>45928</v>
      </c>
      <c r="F4" s="3">
        <v>45929</v>
      </c>
      <c r="G4" s="3">
        <v>45930</v>
      </c>
      <c r="H4" s="3">
        <v>45931</v>
      </c>
      <c r="I4" s="3">
        <v>45932</v>
      </c>
      <c r="J4" s="3">
        <v>45933</v>
      </c>
      <c r="K4" s="3">
        <v>45934</v>
      </c>
    </row>
    <row r="5" spans="2:14" ht="14.4" x14ac:dyDescent="0.3">
      <c r="B5" s="89"/>
      <c r="C5" s="91"/>
      <c r="D5" s="91"/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N5" s="8" t="s">
        <v>33</v>
      </c>
    </row>
    <row r="6" spans="2:14" ht="14.4" x14ac:dyDescent="0.3">
      <c r="B6" s="9">
        <v>1</v>
      </c>
      <c r="C6" s="10" t="s">
        <v>150</v>
      </c>
      <c r="D6" s="11">
        <v>6</v>
      </c>
      <c r="E6" s="16">
        <v>0</v>
      </c>
      <c r="F6" s="16">
        <v>0</v>
      </c>
      <c r="G6" s="16">
        <v>2</v>
      </c>
      <c r="H6" s="16">
        <v>1</v>
      </c>
      <c r="I6" s="16">
        <v>1</v>
      </c>
      <c r="J6" s="16">
        <v>0</v>
      </c>
      <c r="K6" s="16">
        <v>2</v>
      </c>
    </row>
    <row r="7" spans="2:14" ht="14.4" x14ac:dyDescent="0.3">
      <c r="B7" s="14">
        <v>2</v>
      </c>
      <c r="C7" s="15" t="s">
        <v>35</v>
      </c>
      <c r="D7" s="11">
        <v>6</v>
      </c>
      <c r="E7" s="16">
        <v>0</v>
      </c>
      <c r="F7" s="16">
        <v>0</v>
      </c>
      <c r="G7" s="16">
        <v>0</v>
      </c>
      <c r="H7" s="16">
        <v>2</v>
      </c>
      <c r="I7" s="16">
        <v>3</v>
      </c>
      <c r="J7" s="16">
        <v>1</v>
      </c>
      <c r="K7" s="16">
        <v>0</v>
      </c>
      <c r="N7" s="8" t="s">
        <v>36</v>
      </c>
    </row>
    <row r="8" spans="2:14" ht="14.4" x14ac:dyDescent="0.3">
      <c r="B8" s="14">
        <v>3</v>
      </c>
      <c r="C8" s="15" t="s">
        <v>151</v>
      </c>
      <c r="D8" s="11">
        <v>6</v>
      </c>
      <c r="E8" s="16">
        <v>0</v>
      </c>
      <c r="F8" s="16">
        <v>0</v>
      </c>
      <c r="G8" s="16">
        <v>3</v>
      </c>
      <c r="H8" s="16">
        <v>2</v>
      </c>
      <c r="I8" s="16">
        <v>1</v>
      </c>
      <c r="J8" s="16">
        <v>0</v>
      </c>
      <c r="K8" s="16">
        <v>0</v>
      </c>
    </row>
    <row r="9" spans="2:14" ht="14.4" x14ac:dyDescent="0.3">
      <c r="B9" s="14">
        <v>4</v>
      </c>
      <c r="C9" s="15" t="s">
        <v>38</v>
      </c>
      <c r="D9" s="11">
        <v>6</v>
      </c>
      <c r="E9" s="16">
        <v>0</v>
      </c>
      <c r="F9" s="16">
        <v>0</v>
      </c>
      <c r="G9" s="16">
        <v>0</v>
      </c>
      <c r="H9" s="16">
        <v>2</v>
      </c>
      <c r="I9" s="16">
        <v>3</v>
      </c>
      <c r="J9" s="16">
        <v>1</v>
      </c>
      <c r="K9" s="16">
        <v>0</v>
      </c>
    </row>
    <row r="10" spans="2:14" ht="14.4" x14ac:dyDescent="0.3">
      <c r="B10" s="14">
        <v>5</v>
      </c>
      <c r="C10" s="15" t="s">
        <v>39</v>
      </c>
      <c r="D10" s="11">
        <v>6</v>
      </c>
      <c r="E10" s="16">
        <v>0</v>
      </c>
      <c r="F10" s="16">
        <v>0</v>
      </c>
      <c r="G10" s="16">
        <v>0</v>
      </c>
      <c r="H10" s="16">
        <v>0</v>
      </c>
      <c r="I10" s="16">
        <v>2</v>
      </c>
      <c r="J10" s="16">
        <v>2</v>
      </c>
      <c r="K10" s="16">
        <v>2</v>
      </c>
    </row>
    <row r="11" spans="2:14" ht="15" customHeight="1" x14ac:dyDescent="0.3">
      <c r="B11" s="77" t="s">
        <v>68</v>
      </c>
      <c r="C11" s="78"/>
      <c r="D11" s="29">
        <v>0</v>
      </c>
      <c r="E11" s="39">
        <f t="shared" ref="E11:K11" si="0">SUM(E6:E10)</f>
        <v>0</v>
      </c>
      <c r="F11" s="39">
        <f t="shared" si="0"/>
        <v>0</v>
      </c>
      <c r="G11" s="39">
        <f t="shared" si="0"/>
        <v>5</v>
      </c>
      <c r="H11" s="39">
        <f t="shared" si="0"/>
        <v>7</v>
      </c>
      <c r="I11" s="39">
        <f t="shared" si="0"/>
        <v>10</v>
      </c>
      <c r="J11" s="39">
        <f t="shared" si="0"/>
        <v>4</v>
      </c>
      <c r="K11" s="39">
        <f t="shared" si="0"/>
        <v>4</v>
      </c>
      <c r="L11" s="75"/>
    </row>
    <row r="12" spans="2:14" ht="14.4" x14ac:dyDescent="0.3">
      <c r="B12" s="79" t="s">
        <v>69</v>
      </c>
      <c r="C12" s="80"/>
      <c r="D12" s="30">
        <f>SUM(D6:D11)</f>
        <v>30</v>
      </c>
      <c r="E12" s="31">
        <f t="shared" ref="E12:K12" si="1">D12-SUM(E6:E10)</f>
        <v>30</v>
      </c>
      <c r="F12" s="32">
        <f t="shared" si="1"/>
        <v>30</v>
      </c>
      <c r="G12" s="32">
        <f t="shared" si="1"/>
        <v>25</v>
      </c>
      <c r="H12" s="32">
        <f t="shared" si="1"/>
        <v>18</v>
      </c>
      <c r="I12" s="32">
        <f t="shared" si="1"/>
        <v>8</v>
      </c>
      <c r="J12" s="40">
        <f t="shared" si="1"/>
        <v>4</v>
      </c>
      <c r="K12" s="40">
        <f t="shared" si="1"/>
        <v>0</v>
      </c>
    </row>
    <row r="13" spans="2:14" ht="14.4" x14ac:dyDescent="0.3">
      <c r="B13" s="81" t="s">
        <v>70</v>
      </c>
      <c r="C13" s="82"/>
      <c r="D13" s="34">
        <f>D12</f>
        <v>30</v>
      </c>
      <c r="E13" s="35">
        <f>$D$13-($D$13/7*1)</f>
        <v>25.714285714285715</v>
      </c>
      <c r="F13" s="36">
        <f>$D$13-($D$13/7*2)</f>
        <v>21.428571428571431</v>
      </c>
      <c r="G13" s="36">
        <f>$D$13-($D$13/7*3)</f>
        <v>17.142857142857142</v>
      </c>
      <c r="H13" s="36">
        <f>$D$13-($D$13/7*4)</f>
        <v>12.857142857142858</v>
      </c>
      <c r="I13" s="36">
        <f>$D$13-($D$13/7*5)</f>
        <v>8.571428571428573</v>
      </c>
      <c r="J13" s="36">
        <f>$D$13-($D$13/7*6)</f>
        <v>4.2857142857142847</v>
      </c>
      <c r="K13" s="36">
        <f>$D$13-($D$13/7*7)</f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B11:C11"/>
    <mergeCell ref="B12:C12"/>
    <mergeCell ref="B13:C13"/>
    <mergeCell ref="B2:K2"/>
    <mergeCell ref="B3:K3"/>
    <mergeCell ref="B4:B5"/>
    <mergeCell ref="C4:C5"/>
    <mergeCell ref="D4:D5"/>
  </mergeCells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000"/>
  <sheetViews>
    <sheetView topLeftCell="AK1" workbookViewId="0"/>
  </sheetViews>
  <sheetFormatPr defaultColWidth="14.44140625" defaultRowHeight="15" customHeight="1" x14ac:dyDescent="0.3"/>
  <cols>
    <col min="1" max="1" width="9" customWidth="1"/>
    <col min="2" max="2" width="7.109375" customWidth="1"/>
    <col min="3" max="3" width="73.109375" customWidth="1"/>
    <col min="4" max="4" width="15.5546875" customWidth="1"/>
    <col min="5" max="11" width="10" customWidth="1"/>
    <col min="12" max="26" width="9" customWidth="1"/>
  </cols>
  <sheetData>
    <row r="2" spans="2:11" ht="25.8" x14ac:dyDescent="0.5">
      <c r="B2" s="83" t="s">
        <v>152</v>
      </c>
      <c r="C2" s="84"/>
      <c r="D2" s="84"/>
      <c r="E2" s="84"/>
      <c r="F2" s="84"/>
      <c r="G2" s="84"/>
      <c r="H2" s="84"/>
      <c r="I2" s="84"/>
      <c r="J2" s="84"/>
      <c r="K2" s="84"/>
    </row>
    <row r="3" spans="2:11" ht="14.4" x14ac:dyDescent="0.3">
      <c r="B3" s="103"/>
      <c r="C3" s="84"/>
      <c r="D3" s="84"/>
      <c r="E3" s="84"/>
      <c r="F3" s="84"/>
      <c r="G3" s="84"/>
      <c r="H3" s="84"/>
      <c r="I3" s="84"/>
      <c r="J3" s="84"/>
      <c r="K3" s="84"/>
    </row>
    <row r="4" spans="2:11" ht="15" customHeight="1" x14ac:dyDescent="0.3">
      <c r="B4" s="88" t="s">
        <v>1</v>
      </c>
      <c r="C4" s="90" t="s">
        <v>2</v>
      </c>
      <c r="D4" s="104" t="s">
        <v>3</v>
      </c>
      <c r="E4" s="3">
        <v>45935</v>
      </c>
      <c r="F4" s="3">
        <v>45936</v>
      </c>
      <c r="G4" s="3">
        <v>45937</v>
      </c>
      <c r="H4" s="3">
        <v>45938</v>
      </c>
      <c r="I4" s="3">
        <v>45939</v>
      </c>
      <c r="J4" s="3">
        <v>45940</v>
      </c>
      <c r="K4" s="4">
        <v>45941</v>
      </c>
    </row>
    <row r="5" spans="2:11" ht="14.4" x14ac:dyDescent="0.3">
      <c r="B5" s="89"/>
      <c r="C5" s="91"/>
      <c r="D5" s="91"/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7" t="s">
        <v>10</v>
      </c>
    </row>
    <row r="6" spans="2:11" ht="14.4" x14ac:dyDescent="0.3">
      <c r="B6" s="41">
        <v>6</v>
      </c>
      <c r="C6" s="42" t="s">
        <v>40</v>
      </c>
      <c r="D6" s="11">
        <v>8</v>
      </c>
      <c r="E6" s="16"/>
      <c r="F6" s="16"/>
      <c r="G6" s="16"/>
      <c r="H6" s="16">
        <v>3</v>
      </c>
      <c r="I6" s="16">
        <v>3</v>
      </c>
      <c r="J6" s="16">
        <v>2</v>
      </c>
      <c r="K6" s="43"/>
    </row>
    <row r="7" spans="2:11" ht="14.4" x14ac:dyDescent="0.3">
      <c r="B7" s="41">
        <v>7</v>
      </c>
      <c r="C7" s="42" t="s">
        <v>41</v>
      </c>
      <c r="D7" s="11">
        <v>8</v>
      </c>
      <c r="E7" s="16"/>
      <c r="F7" s="16"/>
      <c r="G7" s="16"/>
      <c r="H7" s="16"/>
      <c r="I7" s="16"/>
      <c r="J7" s="16"/>
      <c r="K7" s="43"/>
    </row>
    <row r="8" spans="2:11" ht="14.4" x14ac:dyDescent="0.3">
      <c r="B8" s="41">
        <v>8</v>
      </c>
      <c r="C8" s="44" t="s">
        <v>42</v>
      </c>
      <c r="D8" s="11">
        <v>8</v>
      </c>
      <c r="E8" s="16"/>
      <c r="F8" s="16"/>
      <c r="G8" s="16">
        <v>1</v>
      </c>
      <c r="H8" s="16">
        <v>2</v>
      </c>
      <c r="I8" s="16">
        <v>3</v>
      </c>
      <c r="J8" s="16">
        <v>2</v>
      </c>
      <c r="K8" s="43"/>
    </row>
    <row r="9" spans="2:11" ht="14.4" x14ac:dyDescent="0.3">
      <c r="B9" s="41">
        <v>9</v>
      </c>
      <c r="C9" s="44" t="s">
        <v>43</v>
      </c>
      <c r="D9" s="11">
        <v>8</v>
      </c>
      <c r="E9" s="16"/>
      <c r="F9" s="16"/>
      <c r="G9" s="16"/>
      <c r="H9" s="16"/>
      <c r="I9" s="16"/>
      <c r="J9" s="16"/>
      <c r="K9" s="43"/>
    </row>
    <row r="10" spans="2:11" ht="14.4" x14ac:dyDescent="0.3">
      <c r="B10" s="41">
        <v>10</v>
      </c>
      <c r="C10" s="44" t="s">
        <v>153</v>
      </c>
      <c r="D10" s="11">
        <v>2</v>
      </c>
      <c r="E10" s="16"/>
      <c r="F10" s="16"/>
      <c r="G10" s="16">
        <v>2</v>
      </c>
      <c r="H10" s="16"/>
      <c r="I10" s="16"/>
      <c r="J10" s="16"/>
      <c r="K10" s="43"/>
    </row>
    <row r="11" spans="2:11" ht="14.4" x14ac:dyDescent="0.3">
      <c r="B11" s="41">
        <v>11</v>
      </c>
      <c r="C11" s="44" t="s">
        <v>154</v>
      </c>
      <c r="D11" s="11">
        <v>2</v>
      </c>
      <c r="E11" s="16"/>
      <c r="F11" s="16">
        <v>2</v>
      </c>
      <c r="G11" s="16"/>
      <c r="H11" s="16"/>
      <c r="I11" s="16"/>
      <c r="J11" s="16"/>
      <c r="K11" s="43"/>
    </row>
    <row r="12" spans="2:11" ht="14.4" x14ac:dyDescent="0.3">
      <c r="B12" s="41">
        <v>12</v>
      </c>
      <c r="C12" s="44" t="s">
        <v>155</v>
      </c>
      <c r="D12" s="11">
        <v>2</v>
      </c>
      <c r="E12" s="16"/>
      <c r="F12" s="16"/>
      <c r="G12" s="16">
        <v>2</v>
      </c>
      <c r="H12" s="16"/>
      <c r="I12" s="16"/>
      <c r="J12" s="16"/>
      <c r="K12" s="43"/>
    </row>
    <row r="13" spans="2:11" ht="14.4" x14ac:dyDescent="0.3">
      <c r="B13" s="41">
        <v>13</v>
      </c>
      <c r="C13" s="44" t="s">
        <v>156</v>
      </c>
      <c r="D13" s="11">
        <v>2</v>
      </c>
      <c r="E13" s="16">
        <v>2</v>
      </c>
      <c r="F13" s="16"/>
      <c r="G13" s="16"/>
      <c r="H13" s="16"/>
      <c r="I13" s="16"/>
      <c r="J13" s="16"/>
      <c r="K13" s="43"/>
    </row>
    <row r="14" spans="2:11" ht="14.4" x14ac:dyDescent="0.3">
      <c r="B14" s="41">
        <v>14</v>
      </c>
      <c r="C14" s="44" t="s">
        <v>157</v>
      </c>
      <c r="D14" s="11">
        <v>2</v>
      </c>
      <c r="E14" s="16"/>
      <c r="F14" s="16">
        <v>2</v>
      </c>
      <c r="G14" s="16"/>
      <c r="H14" s="16"/>
      <c r="I14" s="16"/>
      <c r="J14" s="16"/>
      <c r="K14" s="43"/>
    </row>
    <row r="15" spans="2:11" ht="14.4" x14ac:dyDescent="0.3">
      <c r="B15" s="41">
        <v>15</v>
      </c>
      <c r="C15" s="44" t="s">
        <v>158</v>
      </c>
      <c r="D15" s="11">
        <v>2</v>
      </c>
      <c r="E15" s="16"/>
      <c r="F15" s="16"/>
      <c r="G15" s="16">
        <v>2</v>
      </c>
      <c r="H15" s="16"/>
      <c r="I15" s="16"/>
      <c r="J15" s="16"/>
      <c r="K15" s="43"/>
    </row>
    <row r="16" spans="2:11" ht="14.4" x14ac:dyDescent="0.3">
      <c r="B16" s="41">
        <v>16</v>
      </c>
      <c r="C16" s="44" t="s">
        <v>159</v>
      </c>
      <c r="D16" s="11">
        <v>2</v>
      </c>
      <c r="E16" s="16">
        <v>2</v>
      </c>
      <c r="F16" s="16"/>
      <c r="G16" s="16"/>
      <c r="H16" s="16"/>
      <c r="I16" s="16"/>
      <c r="J16" s="16"/>
      <c r="K16" s="43"/>
    </row>
    <row r="17" spans="2:12" ht="14.4" x14ac:dyDescent="0.3">
      <c r="B17" s="41">
        <v>17</v>
      </c>
      <c r="C17" s="44" t="s">
        <v>160</v>
      </c>
      <c r="D17" s="11">
        <v>2</v>
      </c>
      <c r="E17" s="16"/>
      <c r="F17" s="16">
        <v>2</v>
      </c>
      <c r="G17" s="16"/>
      <c r="H17" s="16"/>
      <c r="I17" s="16"/>
      <c r="J17" s="16"/>
      <c r="K17" s="43"/>
    </row>
    <row r="18" spans="2:12" ht="14.4" x14ac:dyDescent="0.3">
      <c r="B18" s="41">
        <v>18</v>
      </c>
      <c r="C18" s="44" t="s">
        <v>161</v>
      </c>
      <c r="D18" s="11">
        <v>2</v>
      </c>
      <c r="E18" s="16"/>
      <c r="F18" s="16">
        <v>2</v>
      </c>
      <c r="G18" s="16"/>
      <c r="H18" s="16"/>
      <c r="I18" s="16"/>
      <c r="J18" s="16"/>
      <c r="K18" s="43"/>
    </row>
    <row r="19" spans="2:12" ht="14.4" x14ac:dyDescent="0.3">
      <c r="B19" s="41">
        <v>19</v>
      </c>
      <c r="C19" s="44" t="s">
        <v>162</v>
      </c>
      <c r="D19" s="11">
        <v>2</v>
      </c>
      <c r="E19" s="16">
        <v>2</v>
      </c>
      <c r="F19" s="16"/>
      <c r="G19" s="16"/>
      <c r="H19" s="16"/>
      <c r="I19" s="16"/>
      <c r="J19" s="16"/>
      <c r="K19" s="43"/>
    </row>
    <row r="20" spans="2:12" ht="15" customHeight="1" x14ac:dyDescent="0.3">
      <c r="B20" s="77" t="s">
        <v>68</v>
      </c>
      <c r="C20" s="78"/>
      <c r="D20" s="29">
        <v>0</v>
      </c>
      <c r="E20" s="39">
        <f t="shared" ref="E20:K20" si="0">SUM(E6:E19)</f>
        <v>6</v>
      </c>
      <c r="F20" s="39">
        <f t="shared" si="0"/>
        <v>8</v>
      </c>
      <c r="G20" s="39">
        <f t="shared" si="0"/>
        <v>7</v>
      </c>
      <c r="H20" s="39">
        <f t="shared" si="0"/>
        <v>5</v>
      </c>
      <c r="I20" s="39">
        <f t="shared" si="0"/>
        <v>6</v>
      </c>
      <c r="J20" s="39">
        <f t="shared" si="0"/>
        <v>4</v>
      </c>
      <c r="K20" s="45">
        <f t="shared" si="0"/>
        <v>0</v>
      </c>
      <c r="L20" s="8"/>
    </row>
    <row r="21" spans="2:12" ht="15.75" customHeight="1" x14ac:dyDescent="0.3">
      <c r="B21" s="79" t="s">
        <v>69</v>
      </c>
      <c r="C21" s="80"/>
      <c r="D21" s="30">
        <f>SUM(D6:D20)</f>
        <v>52</v>
      </c>
      <c r="E21" s="31">
        <f t="shared" ref="E21:K21" si="1">D21-SUM(E6:E19)</f>
        <v>46</v>
      </c>
      <c r="F21" s="31">
        <f t="shared" si="1"/>
        <v>38</v>
      </c>
      <c r="G21" s="31">
        <f t="shared" si="1"/>
        <v>31</v>
      </c>
      <c r="H21" s="31">
        <f t="shared" si="1"/>
        <v>26</v>
      </c>
      <c r="I21" s="31">
        <f t="shared" si="1"/>
        <v>20</v>
      </c>
      <c r="J21" s="31">
        <f t="shared" si="1"/>
        <v>16</v>
      </c>
      <c r="K21" s="76">
        <f t="shared" si="1"/>
        <v>16</v>
      </c>
    </row>
    <row r="22" spans="2:12" ht="15.75" customHeight="1" x14ac:dyDescent="0.3">
      <c r="B22" s="81" t="s">
        <v>70</v>
      </c>
      <c r="C22" s="82"/>
      <c r="D22" s="34">
        <f>D21</f>
        <v>52</v>
      </c>
      <c r="E22" s="35">
        <f>$D$22-($D$22/7*1)</f>
        <v>44.571428571428569</v>
      </c>
      <c r="F22" s="36">
        <f>$D$22-($D$22/7*2)</f>
        <v>37.142857142857139</v>
      </c>
      <c r="G22" s="36">
        <f>$D$22-($D$22/7*3)</f>
        <v>29.714285714285715</v>
      </c>
      <c r="H22" s="36">
        <f>$D$22-($D$22/7*4)</f>
        <v>22.285714285714285</v>
      </c>
      <c r="I22" s="36">
        <f>$D$22-($D$22/7*5)</f>
        <v>14.857142857142854</v>
      </c>
      <c r="J22" s="36">
        <f>$D$22-($D$22/7*6)</f>
        <v>7.4285714285714306</v>
      </c>
      <c r="K22" s="37">
        <f>$D$22-($D$22/7*7)</f>
        <v>0</v>
      </c>
    </row>
    <row r="23" spans="2:12" ht="15.75" customHeight="1" x14ac:dyDescent="0.3"/>
    <row r="24" spans="2:12" ht="15.75" customHeight="1" x14ac:dyDescent="0.3"/>
    <row r="25" spans="2:12" ht="15.75" customHeight="1" x14ac:dyDescent="0.3"/>
    <row r="26" spans="2:12" ht="15.75" customHeight="1" x14ac:dyDescent="0.3"/>
    <row r="27" spans="2:12" ht="15.75" customHeight="1" x14ac:dyDescent="0.3"/>
    <row r="28" spans="2:12" ht="15.75" customHeight="1" x14ac:dyDescent="0.3"/>
    <row r="29" spans="2:12" ht="15.75" customHeight="1" x14ac:dyDescent="0.3"/>
    <row r="30" spans="2:12" ht="15.75" customHeight="1" x14ac:dyDescent="0.3"/>
    <row r="31" spans="2:12" ht="15.75" customHeight="1" x14ac:dyDescent="0.3"/>
    <row r="32" spans="2:1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B20:C20"/>
    <mergeCell ref="B21:C21"/>
    <mergeCell ref="B22:C22"/>
    <mergeCell ref="B2:K2"/>
    <mergeCell ref="B3:K3"/>
    <mergeCell ref="B4:B5"/>
    <mergeCell ref="C4:C5"/>
    <mergeCell ref="D4:D5"/>
  </mergeCell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1000"/>
  <sheetViews>
    <sheetView topLeftCell="C1" workbookViewId="0"/>
  </sheetViews>
  <sheetFormatPr defaultColWidth="14.44140625" defaultRowHeight="15" customHeight="1" x14ac:dyDescent="0.3"/>
  <cols>
    <col min="1" max="1" width="9" customWidth="1"/>
    <col min="2" max="2" width="7.109375" customWidth="1"/>
    <col min="3" max="3" width="73.109375" customWidth="1"/>
    <col min="4" max="4" width="15.5546875" customWidth="1"/>
    <col min="5" max="11" width="10" customWidth="1"/>
    <col min="12" max="26" width="9" customWidth="1"/>
  </cols>
  <sheetData>
    <row r="2" spans="2:12" ht="25.8" x14ac:dyDescent="0.5">
      <c r="B2" s="83" t="s">
        <v>163</v>
      </c>
      <c r="C2" s="84"/>
      <c r="D2" s="84"/>
      <c r="E2" s="84"/>
      <c r="F2" s="84"/>
      <c r="G2" s="84"/>
      <c r="H2" s="84"/>
      <c r="I2" s="84"/>
      <c r="J2" s="84"/>
      <c r="K2" s="84"/>
    </row>
    <row r="3" spans="2:12" ht="14.4" x14ac:dyDescent="0.3">
      <c r="B3" s="103"/>
      <c r="C3" s="84"/>
      <c r="D3" s="84"/>
      <c r="E3" s="84"/>
      <c r="F3" s="84"/>
      <c r="G3" s="84"/>
      <c r="H3" s="84"/>
      <c r="I3" s="84"/>
      <c r="J3" s="84"/>
      <c r="K3" s="84"/>
    </row>
    <row r="4" spans="2:12" ht="13.5" customHeight="1" x14ac:dyDescent="0.3">
      <c r="B4" s="88" t="s">
        <v>1</v>
      </c>
      <c r="C4" s="90" t="s">
        <v>2</v>
      </c>
      <c r="D4" s="104" t="s">
        <v>3</v>
      </c>
      <c r="E4" s="3">
        <v>45942</v>
      </c>
      <c r="F4" s="3">
        <v>45943</v>
      </c>
      <c r="G4" s="3">
        <v>45944</v>
      </c>
      <c r="H4" s="3">
        <v>45945</v>
      </c>
      <c r="I4" s="3">
        <v>45946</v>
      </c>
      <c r="J4" s="3">
        <v>45947</v>
      </c>
      <c r="K4" s="3">
        <v>45948</v>
      </c>
    </row>
    <row r="5" spans="2:12" ht="14.4" x14ac:dyDescent="0.3">
      <c r="B5" s="89"/>
      <c r="C5" s="91"/>
      <c r="D5" s="91"/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</row>
    <row r="6" spans="2:12" ht="14.4" x14ac:dyDescent="0.3">
      <c r="B6" s="41">
        <v>20</v>
      </c>
      <c r="C6" s="42" t="s">
        <v>54</v>
      </c>
      <c r="D6" s="11">
        <v>6</v>
      </c>
      <c r="E6" s="16"/>
      <c r="F6" s="16">
        <v>2</v>
      </c>
      <c r="G6" s="16">
        <v>1</v>
      </c>
      <c r="H6" s="16">
        <v>2</v>
      </c>
      <c r="I6" s="16">
        <v>1</v>
      </c>
      <c r="J6" s="16"/>
      <c r="K6" s="43"/>
    </row>
    <row r="7" spans="2:12" ht="14.4" x14ac:dyDescent="0.3">
      <c r="B7" s="41">
        <v>21</v>
      </c>
      <c r="C7" s="42" t="s">
        <v>55</v>
      </c>
      <c r="D7" s="11">
        <v>6</v>
      </c>
      <c r="E7" s="16"/>
      <c r="F7" s="16"/>
      <c r="G7" s="16"/>
      <c r="H7" s="16"/>
      <c r="I7" s="16"/>
      <c r="J7" s="16">
        <v>1</v>
      </c>
      <c r="K7" s="43">
        <v>2</v>
      </c>
    </row>
    <row r="8" spans="2:12" ht="14.4" x14ac:dyDescent="0.3">
      <c r="B8" s="41">
        <v>22</v>
      </c>
      <c r="C8" s="44" t="s">
        <v>56</v>
      </c>
      <c r="D8" s="11">
        <v>6</v>
      </c>
      <c r="E8" s="16"/>
      <c r="F8" s="16"/>
      <c r="G8" s="16">
        <v>1</v>
      </c>
      <c r="H8" s="16">
        <v>2</v>
      </c>
      <c r="I8" s="16">
        <v>1</v>
      </c>
      <c r="J8" s="16"/>
      <c r="K8" s="43">
        <v>2</v>
      </c>
    </row>
    <row r="9" spans="2:12" ht="14.4" x14ac:dyDescent="0.3">
      <c r="B9" s="41">
        <v>23</v>
      </c>
      <c r="C9" s="44" t="s">
        <v>57</v>
      </c>
      <c r="D9" s="11">
        <v>6</v>
      </c>
      <c r="E9" s="16"/>
      <c r="F9" s="16"/>
      <c r="G9" s="16"/>
      <c r="H9" s="16"/>
      <c r="I9" s="16"/>
      <c r="J9" s="16">
        <v>1</v>
      </c>
      <c r="K9" s="43">
        <v>1</v>
      </c>
    </row>
    <row r="10" spans="2:12" ht="14.4" x14ac:dyDescent="0.3">
      <c r="B10" s="41">
        <v>24</v>
      </c>
      <c r="C10" s="44" t="s">
        <v>58</v>
      </c>
      <c r="D10" s="11">
        <v>6</v>
      </c>
      <c r="E10" s="16"/>
      <c r="F10" s="16"/>
      <c r="G10" s="16"/>
      <c r="H10" s="16"/>
      <c r="I10" s="16">
        <v>1</v>
      </c>
      <c r="J10" s="16">
        <v>2</v>
      </c>
      <c r="K10" s="43"/>
    </row>
    <row r="11" spans="2:12" ht="14.4" x14ac:dyDescent="0.3">
      <c r="B11" s="41">
        <v>25</v>
      </c>
      <c r="C11" s="15" t="s">
        <v>59</v>
      </c>
      <c r="D11" s="11">
        <v>2</v>
      </c>
      <c r="E11" s="16"/>
      <c r="F11" s="16"/>
      <c r="G11" s="16"/>
      <c r="H11" s="16"/>
      <c r="I11" s="16"/>
      <c r="J11" s="16"/>
      <c r="K11" s="43">
        <v>2</v>
      </c>
    </row>
    <row r="12" spans="2:12" ht="14.4" x14ac:dyDescent="0.3">
      <c r="B12" s="41">
        <v>7</v>
      </c>
      <c r="C12" s="44" t="s">
        <v>41</v>
      </c>
      <c r="D12" s="11">
        <v>8</v>
      </c>
      <c r="E12" s="16"/>
      <c r="F12" s="16"/>
      <c r="G12" s="16"/>
      <c r="H12" s="16">
        <v>1</v>
      </c>
      <c r="I12" s="16"/>
      <c r="J12" s="16">
        <v>3</v>
      </c>
      <c r="K12" s="43">
        <v>4</v>
      </c>
    </row>
    <row r="13" spans="2:12" ht="14.4" x14ac:dyDescent="0.3">
      <c r="B13" s="41">
        <v>9</v>
      </c>
      <c r="C13" s="44" t="s">
        <v>43</v>
      </c>
      <c r="D13" s="11">
        <v>8</v>
      </c>
      <c r="E13" s="16"/>
      <c r="F13" s="16"/>
      <c r="G13" s="16"/>
      <c r="H13" s="16"/>
      <c r="I13" s="16">
        <v>3</v>
      </c>
      <c r="J13" s="16">
        <v>3</v>
      </c>
      <c r="K13" s="43">
        <v>2</v>
      </c>
    </row>
    <row r="14" spans="2:12" ht="15" customHeight="1" x14ac:dyDescent="0.3">
      <c r="B14" s="77" t="s">
        <v>68</v>
      </c>
      <c r="C14" s="78"/>
      <c r="D14" s="29">
        <v>0</v>
      </c>
      <c r="E14" s="45">
        <f t="shared" ref="E14:K14" si="0">SUM(E6:E13)</f>
        <v>0</v>
      </c>
      <c r="F14" s="46">
        <f t="shared" si="0"/>
        <v>2</v>
      </c>
      <c r="G14" s="46">
        <f t="shared" si="0"/>
        <v>2</v>
      </c>
      <c r="H14" s="46">
        <f t="shared" si="0"/>
        <v>5</v>
      </c>
      <c r="I14" s="46">
        <f t="shared" si="0"/>
        <v>6</v>
      </c>
      <c r="J14" s="46">
        <f t="shared" si="0"/>
        <v>10</v>
      </c>
      <c r="K14" s="46">
        <f t="shared" si="0"/>
        <v>13</v>
      </c>
      <c r="L14" s="8"/>
    </row>
    <row r="15" spans="2:12" ht="14.4" x14ac:dyDescent="0.3">
      <c r="B15" s="79" t="s">
        <v>69</v>
      </c>
      <c r="C15" s="80"/>
      <c r="D15" s="30">
        <f>SUM(D6:D13)</f>
        <v>48</v>
      </c>
      <c r="E15" s="47">
        <f t="shared" ref="E15:K15" si="1">D15-SUM(E6:E13)</f>
        <v>48</v>
      </c>
      <c r="F15" s="47">
        <f t="shared" si="1"/>
        <v>46</v>
      </c>
      <c r="G15" s="47">
        <f t="shared" si="1"/>
        <v>44</v>
      </c>
      <c r="H15" s="47">
        <f t="shared" si="1"/>
        <v>39</v>
      </c>
      <c r="I15" s="47">
        <f t="shared" si="1"/>
        <v>33</v>
      </c>
      <c r="J15" s="47">
        <f t="shared" si="1"/>
        <v>23</v>
      </c>
      <c r="K15" s="47">
        <f t="shared" si="1"/>
        <v>10</v>
      </c>
    </row>
    <row r="16" spans="2:12" ht="14.4" x14ac:dyDescent="0.3">
      <c r="B16" s="81" t="s">
        <v>70</v>
      </c>
      <c r="C16" s="82"/>
      <c r="D16" s="34">
        <f>D15</f>
        <v>48</v>
      </c>
      <c r="E16" s="48">
        <f>$D$16-($D$16/7*1)</f>
        <v>41.142857142857146</v>
      </c>
      <c r="F16" s="48">
        <f>$D$16-($D$16/7*2)</f>
        <v>34.285714285714285</v>
      </c>
      <c r="G16" s="48">
        <f>$D$16-($D$16/7*3)</f>
        <v>27.428571428571431</v>
      </c>
      <c r="H16" s="48">
        <f>$D$16-($D$16/7*4)</f>
        <v>20.571428571428573</v>
      </c>
      <c r="I16" s="48">
        <f>$D$16-($D$16/7*5)</f>
        <v>13.714285714285715</v>
      </c>
      <c r="J16" s="48">
        <f>$D$16-($D$16/7*6)</f>
        <v>6.8571428571428612</v>
      </c>
      <c r="K16" s="48">
        <f>$D$16-($D$16/7*7)</f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B14:C14"/>
    <mergeCell ref="B15:C15"/>
    <mergeCell ref="B16:C16"/>
    <mergeCell ref="B2:K2"/>
    <mergeCell ref="B3:K3"/>
    <mergeCell ref="B4:B5"/>
    <mergeCell ref="C4:C5"/>
    <mergeCell ref="D4:D5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1000"/>
  <sheetViews>
    <sheetView zoomScale="68" workbookViewId="0"/>
  </sheetViews>
  <sheetFormatPr defaultColWidth="14.44140625" defaultRowHeight="15" customHeight="1" x14ac:dyDescent="0.3"/>
  <cols>
    <col min="1" max="1" width="9" customWidth="1"/>
    <col min="2" max="2" width="7.109375" customWidth="1"/>
    <col min="3" max="3" width="73.109375" customWidth="1"/>
    <col min="4" max="4" width="15.5546875" customWidth="1"/>
    <col min="5" max="11" width="10" customWidth="1"/>
    <col min="12" max="26" width="9" customWidth="1"/>
  </cols>
  <sheetData>
    <row r="1" spans="2:12" ht="13.5" customHeight="1" x14ac:dyDescent="0.3"/>
    <row r="2" spans="2:12" ht="13.5" customHeight="1" x14ac:dyDescent="0.5">
      <c r="B2" s="83" t="s">
        <v>164</v>
      </c>
      <c r="C2" s="84"/>
      <c r="D2" s="84"/>
      <c r="E2" s="84"/>
      <c r="F2" s="84"/>
      <c r="G2" s="84"/>
      <c r="H2" s="84"/>
      <c r="I2" s="84"/>
      <c r="J2" s="84"/>
      <c r="K2" s="84"/>
    </row>
    <row r="3" spans="2:12" ht="13.5" customHeight="1" x14ac:dyDescent="0.3">
      <c r="B3" s="103"/>
      <c r="C3" s="84"/>
      <c r="D3" s="84"/>
      <c r="E3" s="84"/>
      <c r="F3" s="84"/>
      <c r="G3" s="84"/>
      <c r="H3" s="84"/>
      <c r="I3" s="84"/>
      <c r="J3" s="84"/>
      <c r="K3" s="84"/>
    </row>
    <row r="4" spans="2:12" ht="13.5" customHeight="1" x14ac:dyDescent="0.3">
      <c r="B4" s="88" t="s">
        <v>1</v>
      </c>
      <c r="C4" s="90" t="s">
        <v>2</v>
      </c>
      <c r="D4" s="104" t="s">
        <v>3</v>
      </c>
      <c r="E4" s="3">
        <v>45942</v>
      </c>
      <c r="F4" s="3">
        <v>45943</v>
      </c>
      <c r="G4" s="3">
        <v>45944</v>
      </c>
      <c r="H4" s="3">
        <v>45945</v>
      </c>
      <c r="I4" s="3">
        <v>45946</v>
      </c>
      <c r="J4" s="3">
        <v>45947</v>
      </c>
      <c r="K4" s="3">
        <v>45948</v>
      </c>
    </row>
    <row r="5" spans="2:12" ht="13.5" customHeight="1" x14ac:dyDescent="0.3">
      <c r="B5" s="89"/>
      <c r="C5" s="91"/>
      <c r="D5" s="91"/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</row>
    <row r="6" spans="2:12" ht="13.5" customHeight="1" x14ac:dyDescent="0.3">
      <c r="B6" s="41">
        <v>21</v>
      </c>
      <c r="C6" s="42" t="s">
        <v>55</v>
      </c>
      <c r="D6" s="11">
        <v>3</v>
      </c>
      <c r="E6" s="16"/>
      <c r="F6" s="16"/>
      <c r="G6" s="16"/>
      <c r="H6" s="16"/>
      <c r="I6" s="16"/>
      <c r="J6" s="16"/>
      <c r="K6" s="43"/>
    </row>
    <row r="7" spans="2:12" ht="13.5" customHeight="1" x14ac:dyDescent="0.3">
      <c r="B7" s="41">
        <v>23</v>
      </c>
      <c r="C7" s="42" t="s">
        <v>57</v>
      </c>
      <c r="D7" s="11">
        <v>4</v>
      </c>
      <c r="E7" s="16"/>
      <c r="F7" s="16"/>
      <c r="G7" s="16"/>
      <c r="H7" s="16"/>
      <c r="I7" s="16"/>
      <c r="J7" s="16"/>
      <c r="K7" s="43"/>
    </row>
    <row r="8" spans="2:12" ht="13.5" customHeight="1" x14ac:dyDescent="0.3">
      <c r="B8" s="41">
        <v>24</v>
      </c>
      <c r="C8" s="44" t="s">
        <v>58</v>
      </c>
      <c r="D8" s="11">
        <v>3</v>
      </c>
      <c r="E8" s="16"/>
      <c r="F8" s="16"/>
      <c r="G8" s="16"/>
      <c r="H8" s="16"/>
      <c r="I8" s="16"/>
      <c r="J8" s="16"/>
      <c r="K8" s="43"/>
    </row>
    <row r="9" spans="2:12" ht="13.5" customHeight="1" x14ac:dyDescent="0.3">
      <c r="B9" s="41">
        <v>26</v>
      </c>
      <c r="C9" s="44" t="s">
        <v>60</v>
      </c>
      <c r="D9" s="11">
        <v>6</v>
      </c>
      <c r="E9" s="16"/>
      <c r="F9" s="16"/>
      <c r="G9" s="16"/>
      <c r="H9" s="16"/>
      <c r="I9" s="16"/>
      <c r="J9" s="16"/>
      <c r="K9" s="43"/>
    </row>
    <row r="10" spans="2:12" ht="13.5" customHeight="1" x14ac:dyDescent="0.3">
      <c r="B10" s="41">
        <v>27</v>
      </c>
      <c r="C10" s="44" t="s">
        <v>61</v>
      </c>
      <c r="D10" s="11">
        <v>6</v>
      </c>
      <c r="E10" s="16"/>
      <c r="F10" s="16"/>
      <c r="G10" s="16"/>
      <c r="H10" s="16"/>
      <c r="I10" s="16"/>
      <c r="J10" s="16"/>
      <c r="K10" s="43"/>
    </row>
    <row r="11" spans="2:12" ht="13.5" customHeight="1" x14ac:dyDescent="0.3">
      <c r="B11" s="41">
        <v>28</v>
      </c>
      <c r="C11" s="15" t="s">
        <v>62</v>
      </c>
      <c r="D11" s="11">
        <v>8</v>
      </c>
      <c r="E11" s="16"/>
      <c r="F11" s="16"/>
      <c r="G11" s="16"/>
      <c r="H11" s="16"/>
      <c r="I11" s="16"/>
      <c r="J11" s="16"/>
      <c r="K11" s="43"/>
    </row>
    <row r="12" spans="2:12" ht="13.5" customHeight="1" x14ac:dyDescent="0.3">
      <c r="B12" s="41">
        <v>29</v>
      </c>
      <c r="C12" s="44" t="s">
        <v>63</v>
      </c>
      <c r="D12" s="11">
        <v>6</v>
      </c>
      <c r="E12" s="16"/>
      <c r="F12" s="16"/>
      <c r="G12" s="16"/>
      <c r="H12" s="16"/>
      <c r="I12" s="16"/>
      <c r="J12" s="16"/>
      <c r="K12" s="43"/>
    </row>
    <row r="13" spans="2:12" ht="13.5" customHeight="1" x14ac:dyDescent="0.3">
      <c r="B13" s="41">
        <v>30</v>
      </c>
      <c r="C13" s="44" t="s">
        <v>64</v>
      </c>
      <c r="D13" s="11">
        <v>6</v>
      </c>
      <c r="E13" s="16"/>
      <c r="F13" s="16"/>
      <c r="G13" s="16"/>
      <c r="H13" s="16"/>
      <c r="I13" s="16"/>
      <c r="J13" s="16"/>
      <c r="K13" s="43"/>
    </row>
    <row r="14" spans="2:12" ht="13.5" customHeight="1" x14ac:dyDescent="0.3">
      <c r="B14" s="41">
        <v>31</v>
      </c>
      <c r="C14" s="44" t="s">
        <v>65</v>
      </c>
      <c r="D14" s="11">
        <v>8</v>
      </c>
      <c r="E14" s="16"/>
      <c r="F14" s="16"/>
      <c r="G14" s="16"/>
      <c r="H14" s="16"/>
      <c r="I14" s="16"/>
      <c r="J14" s="16"/>
      <c r="K14" s="43"/>
    </row>
    <row r="15" spans="2:12" ht="13.5" customHeight="1" x14ac:dyDescent="0.3">
      <c r="B15" s="41">
        <v>32</v>
      </c>
      <c r="C15" s="44" t="s">
        <v>66</v>
      </c>
      <c r="D15" s="11">
        <v>1</v>
      </c>
      <c r="E15" s="16"/>
      <c r="F15" s="16"/>
      <c r="G15" s="16"/>
      <c r="H15" s="16"/>
      <c r="I15" s="16"/>
      <c r="J15" s="16"/>
      <c r="K15" s="43"/>
    </row>
    <row r="16" spans="2:12" ht="15" customHeight="1" x14ac:dyDescent="0.3">
      <c r="B16" s="77" t="s">
        <v>68</v>
      </c>
      <c r="C16" s="78"/>
      <c r="D16" s="29">
        <v>0</v>
      </c>
      <c r="E16" s="45">
        <f t="shared" ref="E16:K16" si="0">SUM(E6:E15)</f>
        <v>0</v>
      </c>
      <c r="F16" s="46">
        <f t="shared" si="0"/>
        <v>0</v>
      </c>
      <c r="G16" s="46">
        <f t="shared" si="0"/>
        <v>0</v>
      </c>
      <c r="H16" s="46">
        <f t="shared" si="0"/>
        <v>0</v>
      </c>
      <c r="I16" s="46">
        <f t="shared" si="0"/>
        <v>0</v>
      </c>
      <c r="J16" s="46">
        <f t="shared" si="0"/>
        <v>0</v>
      </c>
      <c r="K16" s="46">
        <f t="shared" si="0"/>
        <v>0</v>
      </c>
      <c r="L16" s="8"/>
    </row>
    <row r="17" spans="2:11" ht="13.5" customHeight="1" x14ac:dyDescent="0.3">
      <c r="B17" s="79" t="s">
        <v>69</v>
      </c>
      <c r="C17" s="80"/>
      <c r="D17" s="30">
        <f>SUM(D6:D15)</f>
        <v>51</v>
      </c>
      <c r="E17" s="47">
        <f t="shared" ref="E17:K17" si="1">D17-SUM(E6:E15)</f>
        <v>51</v>
      </c>
      <c r="F17" s="47">
        <f t="shared" si="1"/>
        <v>51</v>
      </c>
      <c r="G17" s="47">
        <f t="shared" si="1"/>
        <v>51</v>
      </c>
      <c r="H17" s="47">
        <f t="shared" si="1"/>
        <v>51</v>
      </c>
      <c r="I17" s="47">
        <f t="shared" si="1"/>
        <v>51</v>
      </c>
      <c r="J17" s="47">
        <f t="shared" si="1"/>
        <v>51</v>
      </c>
      <c r="K17" s="47">
        <f t="shared" si="1"/>
        <v>51</v>
      </c>
    </row>
    <row r="18" spans="2:11" ht="13.5" customHeight="1" x14ac:dyDescent="0.3">
      <c r="B18" s="81" t="s">
        <v>70</v>
      </c>
      <c r="C18" s="82"/>
      <c r="D18" s="34">
        <f>D17</f>
        <v>51</v>
      </c>
      <c r="E18" s="48">
        <f>$D$18-($D$18/7*1)</f>
        <v>43.714285714285715</v>
      </c>
      <c r="F18" s="48">
        <f>$D$18-($D$18/7*2)</f>
        <v>36.428571428571431</v>
      </c>
      <c r="G18" s="48">
        <f>$D$18-($D$18/7*3)</f>
        <v>29.142857142857142</v>
      </c>
      <c r="H18" s="48">
        <f>$D$18-($D$18/7*4)</f>
        <v>21.857142857142858</v>
      </c>
      <c r="I18" s="48">
        <f>$D$18-($D$18/7*5)</f>
        <v>14.571428571428569</v>
      </c>
      <c r="J18" s="48">
        <f>$D$18-($D$18/7*6)</f>
        <v>7.2857142857142847</v>
      </c>
      <c r="K18" s="48">
        <f>$D$18-($D$18/7*7)</f>
        <v>0</v>
      </c>
    </row>
    <row r="19" spans="2:11" ht="13.5" customHeight="1" x14ac:dyDescent="0.3"/>
    <row r="20" spans="2:11" ht="13.5" customHeight="1" x14ac:dyDescent="0.3"/>
    <row r="21" spans="2:11" ht="13.5" customHeight="1" x14ac:dyDescent="0.3"/>
    <row r="22" spans="2:11" ht="13.5" customHeight="1" x14ac:dyDescent="0.3"/>
    <row r="23" spans="2:11" ht="13.5" customHeight="1" x14ac:dyDescent="0.3"/>
    <row r="24" spans="2:11" ht="13.5" customHeight="1" x14ac:dyDescent="0.3"/>
    <row r="25" spans="2:11" ht="13.5" customHeight="1" x14ac:dyDescent="0.3"/>
    <row r="26" spans="2:11" ht="13.5" customHeight="1" x14ac:dyDescent="0.3"/>
    <row r="27" spans="2:11" ht="13.5" customHeight="1" x14ac:dyDescent="0.3"/>
    <row r="28" spans="2:11" ht="13.5" customHeight="1" x14ac:dyDescent="0.3"/>
    <row r="29" spans="2:11" ht="13.5" customHeight="1" x14ac:dyDescent="0.3"/>
    <row r="30" spans="2:11" ht="13.5" customHeight="1" x14ac:dyDescent="0.3"/>
    <row r="31" spans="2:11" ht="13.5" customHeight="1" x14ac:dyDescent="0.3"/>
    <row r="32" spans="2:11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8">
    <mergeCell ref="B16:C16"/>
    <mergeCell ref="B17:C17"/>
    <mergeCell ref="B18:C18"/>
    <mergeCell ref="B2:K2"/>
    <mergeCell ref="B3:K3"/>
    <mergeCell ref="B4:B5"/>
    <mergeCell ref="C4:C5"/>
    <mergeCell ref="D4:D5"/>
  </mergeCells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4:C1000"/>
  <sheetViews>
    <sheetView workbookViewId="0"/>
  </sheetViews>
  <sheetFormatPr defaultColWidth="14.44140625" defaultRowHeight="15" customHeight="1" x14ac:dyDescent="0.3"/>
  <cols>
    <col min="1" max="26" width="10.5546875" customWidth="1"/>
  </cols>
  <sheetData>
    <row r="4" spans="3:3" ht="14.4" x14ac:dyDescent="0.3">
      <c r="C4" s="8" t="s">
        <v>165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Burndown Chart Sprint1</vt:lpstr>
      <vt:lpstr>Burndown Chart Sprint 2</vt:lpstr>
      <vt:lpstr>Task Dependecies</vt:lpstr>
      <vt:lpstr>Burndown Chart s1</vt:lpstr>
      <vt:lpstr>Burndown Chart s2</vt:lpstr>
      <vt:lpstr>Burndown Chart s3</vt:lpstr>
      <vt:lpstr>Burndown Chart s4</vt:lpstr>
      <vt:lpstr>Gant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Mendes</cp:lastModifiedBy>
  <cp:revision/>
  <dcterms:created xsi:type="dcterms:W3CDTF">2025-11-07T13:57:39Z</dcterms:created>
  <dcterms:modified xsi:type="dcterms:W3CDTF">2025-11-09T19:19:23Z</dcterms:modified>
  <cp:category/>
  <cp:contentStatus/>
</cp:coreProperties>
</file>