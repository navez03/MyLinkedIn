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Burndown Chart Sprint1" sheetId="1" state="visible" r:id="rId3"/>
    <sheet name="Burndown Chart Sprint 2" sheetId="2" state="visible" r:id="rId4"/>
    <sheet name="Task Dependecies" sheetId="3" state="visible" r:id="rId5"/>
    <sheet name="Burndown Chart s1" sheetId="4" state="visible" r:id="rId6"/>
    <sheet name="Burndown Chart s2" sheetId="5" state="visible" r:id="rId7"/>
    <sheet name="Burndown Chart s3" sheetId="6" state="visible" r:id="rId8"/>
    <sheet name="Burndown Chart s4" sheetId="7" state="visible" r:id="rId9"/>
    <sheet name="Gant Char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<sst xmlns="http://schemas.openxmlformats.org/spreadsheetml/2006/main" count="414" uniqueCount="174">
  <si>
    <t xml:space="preserve">First Sprint Burndown Chart</t>
  </si>
  <si>
    <t xml:space="preserve">Task ID</t>
  </si>
  <si>
    <t xml:space="preserve">Task Description</t>
  </si>
  <si>
    <t xml:space="preserve">Initial Estimate time (Hours)</t>
  </si>
  <si>
    <t xml:space="preserve">Day 1</t>
  </si>
  <si>
    <t xml:space="preserve">Day 2</t>
  </si>
  <si>
    <t xml:space="preserve">Day 3</t>
  </si>
  <si>
    <t xml:space="preserve">Day 4</t>
  </si>
  <si>
    <t xml:space="preserve">Day 5</t>
  </si>
  <si>
    <t xml:space="preserve">Day 6</t>
  </si>
  <si>
    <t xml:space="preserve">Day 7</t>
  </si>
  <si>
    <t xml:space="preserve">Day 8</t>
  </si>
  <si>
    <t xml:space="preserve">Day 9</t>
  </si>
  <si>
    <t xml:space="preserve">Day 10</t>
  </si>
  <si>
    <t xml:space="preserve">Day 11</t>
  </si>
  <si>
    <t xml:space="preserve">Day 12</t>
  </si>
  <si>
    <t xml:space="preserve">Day 13</t>
  </si>
  <si>
    <t xml:space="preserve">Day 14</t>
  </si>
  <si>
    <t xml:space="preserve">Day 15</t>
  </si>
  <si>
    <t xml:space="preserve">Day 16</t>
  </si>
  <si>
    <t xml:space="preserve">Day 17</t>
  </si>
  <si>
    <t xml:space="preserve">Day 18</t>
  </si>
  <si>
    <t xml:space="preserve">Day 19</t>
  </si>
  <si>
    <t xml:space="preserve">Day 20</t>
  </si>
  <si>
    <t xml:space="preserve">Day 21</t>
  </si>
  <si>
    <t xml:space="preserve">Day 22</t>
  </si>
  <si>
    <t xml:space="preserve">Day 23</t>
  </si>
  <si>
    <t xml:space="preserve">Day 24</t>
  </si>
  <si>
    <t xml:space="preserve">Day 25</t>
  </si>
  <si>
    <t xml:space="preserve">Day 26</t>
  </si>
  <si>
    <t xml:space="preserve">Day 27</t>
  </si>
  <si>
    <t xml:space="preserve">Day 28</t>
  </si>
  <si>
    <t xml:space="preserve">Day 29</t>
  </si>
  <si>
    <t xml:space="preserve">1 day = 2/3 horas de trabalho max</t>
  </si>
  <si>
    <t xml:space="preserve">BPMN Register Account</t>
  </si>
  <si>
    <t xml:space="preserve">BPMN Post Content</t>
  </si>
  <si>
    <t xml:space="preserve">NOTA: adicionar horas das tarefas das outras pessoas, fazer este preenchimento das horas na última reunião da semana </t>
  </si>
  <si>
    <t xml:space="preserve">BPMN Get Notifications</t>
  </si>
  <si>
    <t xml:space="preserve">BPMN Adicionar Contacto</t>
  </si>
  <si>
    <t xml:space="preserve">BPMN Send a Message</t>
  </si>
  <si>
    <t xml:space="preserve">Frontend Adicionar User </t>
  </si>
  <si>
    <t xml:space="preserve">Frontend Adicionar Contacto</t>
  </si>
  <si>
    <t xml:space="preserve">Backend Adicionar User </t>
  </si>
  <si>
    <t xml:space="preserve">Backend Adicionar Contacto</t>
  </si>
  <si>
    <t xml:space="preserve">BPMN Interact with Posts</t>
  </si>
  <si>
    <t xml:space="preserve">BPMN Add Skill</t>
  </si>
  <si>
    <t xml:space="preserve">BPMN Search Posts/People</t>
  </si>
  <si>
    <t xml:space="preserve">BPMN Create and Reply to Listing</t>
  </si>
  <si>
    <t xml:space="preserve">BPMN Create and Interact with Events</t>
  </si>
  <si>
    <t xml:space="preserve">BPMN Create Groups</t>
  </si>
  <si>
    <t xml:space="preserve">BPMN Discover Groups</t>
  </si>
  <si>
    <t xml:space="preserve">BPMN AI Assistant</t>
  </si>
  <si>
    <t xml:space="preserve">BPMN Post CV with anonymous reviews</t>
  </si>
  <si>
    <t xml:space="preserve">BPMN Send GIFs in the comments</t>
  </si>
  <si>
    <t xml:space="preserve">Functional Requirements – Task 2, 10, 11</t>
  </si>
  <si>
    <t xml:space="preserve">Functional Requirements – Task 1, 16, 17</t>
  </si>
  <si>
    <t xml:space="preserve">Functional Requirements – Task 3, 18, 19</t>
  </si>
  <si>
    <t xml:space="preserve">Functional Requirements – Task 4, 12, 13</t>
  </si>
  <si>
    <t xml:space="preserve">Functional Requirements da Task 5, 14, 15</t>
  </si>
  <si>
    <t xml:space="preserve">Non-Functional Requirements</t>
  </si>
  <si>
    <t xml:space="preserve">Frontend Enviar Mensagem</t>
  </si>
  <si>
    <t xml:space="preserve">Frontend Notificações</t>
  </si>
  <si>
    <t xml:space="preserve">Frontend Criar Post</t>
  </si>
  <si>
    <t xml:space="preserve">Backend Enviar Mensagem</t>
  </si>
  <si>
    <t xml:space="preserve">Backend Notificações</t>
  </si>
  <si>
    <t xml:space="preserve">Backend Criar Post</t>
  </si>
  <si>
    <t xml:space="preserve">Criação do Gant Chart</t>
  </si>
  <si>
    <t xml:space="preserve"> BPMN Main Process</t>
  </si>
  <si>
    <t xml:space="preserve">Completed Effort</t>
  </si>
  <si>
    <t xml:space="preserve">Remaining Effort</t>
  </si>
  <si>
    <t xml:space="preserve">Ideal Burndown</t>
  </si>
  <si>
    <t xml:space="preserve">
</t>
  </si>
  <si>
    <t xml:space="preserve">Second Sprint Burndown Chart</t>
  </si>
  <si>
    <t xml:space="preserve">Day 30</t>
  </si>
  <si>
    <t xml:space="preserve">Day 31</t>
  </si>
  <si>
    <t xml:space="preserve">Day 32</t>
  </si>
  <si>
    <t xml:space="preserve">Day 33</t>
  </si>
  <si>
    <t xml:space="preserve">Day 34</t>
  </si>
  <si>
    <t xml:space="preserve">Day 35</t>
  </si>
  <si>
    <t xml:space="preserve">Day 36</t>
  </si>
  <si>
    <t xml:space="preserve">Day 37</t>
  </si>
  <si>
    <t xml:space="preserve">Day 38</t>
  </si>
  <si>
    <t xml:space="preserve">Fix BPMNs</t>
  </si>
  <si>
    <t xml:space="preserve">Use Case Diagram</t>
  </si>
  <si>
    <t xml:space="preserve">Backend Interact With Posts</t>
  </si>
  <si>
    <t xml:space="preserve">Backend Manage Events</t>
  </si>
  <si>
    <t xml:space="preserve">Frontend Manage Events</t>
  </si>
  <si>
    <t xml:space="preserve">Backend AI Agent</t>
  </si>
  <si>
    <t xml:space="preserve">Frontend AI Agent</t>
  </si>
  <si>
    <t xml:space="preserve">Backend and Frontend Avatars</t>
  </si>
  <si>
    <t xml:space="preserve">Backend Job Listings</t>
  </si>
  <si>
    <t xml:space="preserve">Frontend Job Listings</t>
  </si>
  <si>
    <t xml:space="preserve">Backend Seach Posts</t>
  </si>
  <si>
    <t xml:space="preserve">Frontend Seach Posts</t>
  </si>
  <si>
    <t xml:space="preserve">Terminar implementação</t>
  </si>
  <si>
    <t xml:space="preserve">Development View BDD</t>
  </si>
  <si>
    <t xml:space="preserve">Development View IBD</t>
  </si>
  <si>
    <t xml:space="preserve">Deployment View</t>
  </si>
  <si>
    <t xml:space="preserve">Feature Model</t>
  </si>
  <si>
    <t xml:space="preserve">Sequence Diagram: Search Posts/People</t>
  </si>
  <si>
    <t xml:space="preserve">Sequence Diagram: Interact with posts</t>
  </si>
  <si>
    <t xml:space="preserve">Sequence Diagram: Events</t>
  </si>
  <si>
    <t xml:space="preserve">Sequence Diagram: Jobs</t>
  </si>
  <si>
    <t xml:space="preserve">Sequence Diagram: AI assistant</t>
  </si>
  <si>
    <t xml:space="preserve">TASK DEPENDENCIES</t>
  </si>
  <si>
    <t xml:space="preserve">NOTA: Quero retificar o tempo que demoramos em cada tarefa, apesar de demorar uma semana tudo porque vamos fazendo as duas tarefas em simultâneo, deviamos por exemplo dizer que na semana 2 demoramos 3 dias a fazer o BPMN e depois os outros 4 dias a fazer a tarefa de começar a implementar</t>
  </si>
  <si>
    <t xml:space="preserve">TaskID</t>
  </si>
  <si>
    <t xml:space="preserve">Task Name </t>
  </si>
  <si>
    <t xml:space="preserve">Dependecy</t>
  </si>
  <si>
    <t xml:space="preserve">Duration (Days)</t>
  </si>
  <si>
    <t xml:space="preserve">Responsável</t>
  </si>
  <si>
    <t xml:space="preserve">Task Start</t>
  </si>
  <si>
    <t xml:space="preserve">Task End</t>
  </si>
  <si>
    <t xml:space="preserve">TECNOLOGIAS: react, node.js, supabase</t>
  </si>
  <si>
    <t xml:space="preserve">-</t>
  </si>
  <si>
    <t xml:space="preserve">Francisco Mendes</t>
  </si>
  <si>
    <t xml:space="preserve">Beatriz</t>
  </si>
  <si>
    <t xml:space="preserve">NOTA: Chega colocar a duração e a data de inicio que o final da tarefa é preenchido automático</t>
  </si>
  <si>
    <t xml:space="preserve">Vicente</t>
  </si>
  <si>
    <t xml:space="preserve">Francisco Jorge</t>
  </si>
  <si>
    <t xml:space="preserve">Daniel </t>
  </si>
  <si>
    <t xml:space="preserve">Task 1</t>
  </si>
  <si>
    <t xml:space="preserve">Vicente, Daniel</t>
  </si>
  <si>
    <t xml:space="preserve">Task 4, 6</t>
  </si>
  <si>
    <t xml:space="preserve">Backend Register User </t>
  </si>
  <si>
    <t xml:space="preserve">Beatriz, Francisco Jorge, Francisco Mendes</t>
  </si>
  <si>
    <t xml:space="preserve">Task 4, 8</t>
  </si>
  <si>
    <t xml:space="preserve">Functional Requirements da Task 2, 10, 11</t>
  </si>
  <si>
    <t xml:space="preserve">Task 2, 10, 11</t>
  </si>
  <si>
    <t xml:space="preserve">Functional Requirements da Task 1, 16, 17</t>
  </si>
  <si>
    <t xml:space="preserve">Task 1, 16, 17</t>
  </si>
  <si>
    <t xml:space="preserve">Functional Requirements da Task 3, 18, 19</t>
  </si>
  <si>
    <t xml:space="preserve">Task 3, 18, 19</t>
  </si>
  <si>
    <t xml:space="preserve">Functional Requirements da Task 4, 12, 13</t>
  </si>
  <si>
    <t xml:space="preserve">Task 4, 12, 13</t>
  </si>
  <si>
    <t xml:space="preserve">Task 5, 14, 15</t>
  </si>
  <si>
    <t xml:space="preserve">Todos</t>
  </si>
  <si>
    <t xml:space="preserve">Frontend Messages</t>
  </si>
  <si>
    <t xml:space="preserve">Task 6, 7</t>
  </si>
  <si>
    <t xml:space="preserve">Frontend Notifications</t>
  </si>
  <si>
    <t xml:space="preserve">- </t>
  </si>
  <si>
    <t xml:space="preserve">Frontend Posts</t>
  </si>
  <si>
    <t xml:space="preserve">Task 6</t>
  </si>
  <si>
    <t xml:space="preserve">Backend Messages</t>
  </si>
  <si>
    <t xml:space="preserve">Task 8, 9</t>
  </si>
  <si>
    <t xml:space="preserve">Backend Notifications</t>
  </si>
  <si>
    <t xml:space="preserve">Backend Posts</t>
  </si>
  <si>
    <t xml:space="preserve">BPMN Main Process</t>
  </si>
  <si>
    <t xml:space="preserve">Gant Chart</t>
  </si>
  <si>
    <t xml:space="preserve">Task 1, 8</t>
  </si>
  <si>
    <t xml:space="preserve">Task 28, 29, 31</t>
  </si>
  <si>
    <t xml:space="preserve">Task 38</t>
  </si>
  <si>
    <t xml:space="preserve">Task 40</t>
  </si>
  <si>
    <t xml:space="preserve">Task 42</t>
  </si>
  <si>
    <t xml:space="preserve">Task 28, 31</t>
  </si>
  <si>
    <t xml:space="preserve">Task 44</t>
  </si>
  <si>
    <t xml:space="preserve">Task 46</t>
  </si>
  <si>
    <t xml:space="preserve">Semana1 Burndown Chart</t>
  </si>
  <si>
    <t xml:space="preserve">BPMN Register Accout</t>
  </si>
  <si>
    <t xml:space="preserve">BPMN get notification</t>
  </si>
  <si>
    <t xml:space="preserve">Semana2 Burndown Chart</t>
  </si>
  <si>
    <t xml:space="preserve">BPMN interagir posts</t>
  </si>
  <si>
    <t xml:space="preserve">BPMN colocar competências</t>
  </si>
  <si>
    <t xml:space="preserve">BPMN pesquisar posts ou contas</t>
  </si>
  <si>
    <t xml:space="preserve">BPMN create and reply listing</t>
  </si>
  <si>
    <t xml:space="preserve">BPMN criar ver e interagir com eventos</t>
  </si>
  <si>
    <t xml:space="preserve">BPMN criar grupos</t>
  </si>
  <si>
    <t xml:space="preserve">BPMN Descobrir novos grupos</t>
  </si>
  <si>
    <t xml:space="preserve">BPMN falar com AI…</t>
  </si>
  <si>
    <t xml:space="preserve">BPMN fazer post do teu CV anonymous</t>
  </si>
  <si>
    <t xml:space="preserve">BPMN mandar gif nos comentários</t>
  </si>
  <si>
    <t xml:space="preserve">Semana3 Burndown Chart</t>
  </si>
  <si>
    <t xml:space="preserve">Semana4 Burndown Chart</t>
  </si>
  <si>
    <t xml:space="preserve">NOTA: Fazer baseado na tabela das task dependecies, podemos fazer no fim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</si>
</sst>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-409]d/mmm/yy"/>
    <numFmt numFmtId="166" formatCode="General"/>
    <numFmt numFmtId="167" formatCode="0.0"/>
    <numFmt numFmtId="168" formatCode="d\-mmm"/>
  </numFmts>
  <fonts count="13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4"/>
      <color rgb="FF757575"/>
      <name val="Calibri"/>
      <family val="2"/>
    </font>
    <font>
      <sz val="9"/>
      <color rgb="FF000000"/>
      <name val="Calibri"/>
      <family val="2"/>
    </font>
    <font>
      <sz val="9"/>
      <color rgb="FF1A1A1A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0"/>
    </font>
    <font>
      <sz val="18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548135"/>
        <bgColor rgb="FF757575"/>
      </patternFill>
    </fill>
    <fill>
      <patternFill patternType="solid">
        <fgColor rgb="FFF7CAAC"/>
        <bgColor rgb="FFF4B083"/>
      </patternFill>
    </fill>
    <fill>
      <patternFill patternType="solid">
        <fgColor rgb="FFF2F2F2"/>
        <bgColor rgb="FFE2EFD9"/>
      </patternFill>
    </fill>
    <fill>
      <patternFill patternType="solid">
        <fgColor rgb="FFD8D8D8"/>
        <bgColor rgb="FFD9D9D9"/>
      </patternFill>
    </fill>
    <fill>
      <patternFill patternType="solid">
        <fgColor theme="0"/>
        <bgColor rgb="FFF2F2F2"/>
      </patternFill>
    </fill>
    <fill>
      <patternFill patternType="solid">
        <fgColor rgb="FFFEF2CB"/>
        <bgColor rgb="FFF2F2F2"/>
      </patternFill>
    </fill>
    <fill>
      <patternFill patternType="solid">
        <fgColor rgb="FFB4C6E7"/>
        <bgColor rgb="FFB7B7B7"/>
      </patternFill>
    </fill>
    <fill>
      <patternFill patternType="solid">
        <fgColor rgb="FFC5E0B3"/>
        <bgColor rgb="FFD8D8D8"/>
      </patternFill>
    </fill>
    <fill>
      <patternFill patternType="solid">
        <fgColor rgb="FFF4B083"/>
        <bgColor rgb="FFF7CAAC"/>
      </patternFill>
    </fill>
    <fill>
      <patternFill patternType="solid">
        <fgColor rgb="FFE2EFD9"/>
        <bgColor rgb="FFF2F2F2"/>
      </patternFill>
    </fill>
  </fills>
  <borders count="4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>
        <color rgb="FF111111"/>
      </left>
      <right/>
      <top style="medium">
        <color rgb="FF111111"/>
      </top>
      <bottom/>
      <diagonal/>
    </border>
    <border diagonalUp="false" diagonalDown="false">
      <left/>
      <right/>
      <top style="medium">
        <color rgb="FF111111"/>
      </top>
      <bottom/>
      <diagonal/>
    </border>
    <border diagonalUp="false" diagonalDown="false">
      <left/>
      <right style="medium">
        <color rgb="FF111111"/>
      </right>
      <top style="medium">
        <color rgb="FF111111"/>
      </top>
      <bottom style="medium">
        <color rgb="FF111111"/>
      </bottom>
      <diagonal/>
    </border>
    <border diagonalUp="false" diagonalDown="false">
      <left style="medium">
        <color rgb="FF111111"/>
      </left>
      <right style="thin">
        <color rgb="FF111111"/>
      </right>
      <top style="medium">
        <color rgb="FF111111"/>
      </top>
      <bottom style="thin">
        <color rgb="FF111111"/>
      </bottom>
      <diagonal/>
    </border>
    <border diagonalUp="false" diagonalDown="false">
      <left style="thin">
        <color rgb="FF111111"/>
      </left>
      <right style="thin">
        <color rgb="FF111111"/>
      </right>
      <top style="medium">
        <color rgb="FF111111"/>
      </top>
      <bottom style="thin">
        <color rgb="FF111111"/>
      </bottom>
      <diagonal/>
    </border>
    <border diagonalUp="false" diagonalDown="false">
      <left style="thin">
        <color rgb="FF111111"/>
      </left>
      <right style="medium">
        <color rgb="FF111111"/>
      </right>
      <top/>
      <bottom style="thin">
        <color rgb="FF111111"/>
      </bottom>
      <diagonal/>
    </border>
    <border diagonalUp="false" diagonalDown="false">
      <left style="medium">
        <color rgb="FF111111"/>
      </left>
      <right style="thin">
        <color rgb="FF111111"/>
      </right>
      <top style="thin">
        <color rgb="FF111111"/>
      </top>
      <bottom style="thin">
        <color rgb="FF111111"/>
      </bottom>
      <diagonal/>
    </border>
    <border diagonalUp="false" diagonalDown="false">
      <left style="thin">
        <color rgb="FF111111"/>
      </left>
      <right style="thin">
        <color rgb="FF111111"/>
      </right>
      <top style="thin">
        <color rgb="FF111111"/>
      </top>
      <bottom style="thin">
        <color rgb="FF111111"/>
      </bottom>
      <diagonal/>
    </border>
    <border diagonalUp="false" diagonalDown="false">
      <left style="medium">
        <color rgb="FF111111"/>
      </left>
      <right style="thin">
        <color rgb="FF111111"/>
      </right>
      <top style="thin">
        <color rgb="FF111111"/>
      </top>
      <bottom/>
      <diagonal/>
    </border>
    <border diagonalUp="false" diagonalDown="false">
      <left style="thin">
        <color rgb="FF111111"/>
      </left>
      <right style="thin">
        <color rgb="FF111111"/>
      </right>
      <top style="thin">
        <color rgb="FF111111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7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7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7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8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8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8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8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9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9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9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9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11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1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1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3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3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3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3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4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7" borderId="4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8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6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5" fillId="4" borderId="1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6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5" fillId="7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8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7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8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9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135"/>
      <rgbColor rgb="FF800080"/>
      <rgbColor rgb="FF008080"/>
      <rgbColor rgb="FFB7B7B7"/>
      <rgbColor rgb="FF757575"/>
      <rgbColor rgb="FF5B9BD5"/>
      <rgbColor rgb="FF993366"/>
      <rgbColor rgb="FFFEF2CB"/>
      <rgbColor rgb="FFF2F2F2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D9D9D9"/>
      <rgbColor rgb="FFE2EFD9"/>
      <rgbColor rgb="FFC5E0B3"/>
      <rgbColor rgb="FFD8D8D8"/>
      <rgbColor rgb="FFF4B083"/>
      <rgbColor rgb="FFCC99FF"/>
      <rgbColor rgb="FFF7CAAC"/>
      <rgbColor rgb="FF3366FF"/>
      <rgbColor rgb="FF33CCCC"/>
      <rgbColor rgb="FF92D050"/>
      <rgbColor rgb="FFFFC000"/>
      <rgbColor rgb="FFFF9900"/>
      <rgbColor rgb="FFFF6600"/>
      <rgbColor rgb="FF666699"/>
      <rgbColor rgb="FF8B8B8B"/>
      <rgbColor rgb="FF003366"/>
      <rgbColor rgb="FF70AD47"/>
      <rgbColor rgb="FF111111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757575"/>
                </a:solidFill>
                <a:latin typeface="Calibri"/>
                <a:ea typeface="Calibri"/>
              </a:defRPr>
            </a:pPr>
            <a:r>
              <a:rPr b="0" lang="en-US" sz="1400" spc="-1" strike="noStrike">
                <a:solidFill>
                  <a:srgbClr val="757575"/>
                </a:solidFill>
                <a:latin typeface="Calibri"/>
                <a:ea typeface="Calibri"/>
              </a:rPr>
              <a:t>First 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"Completed Effort"</c:f>
              <c:strCache>
                <c:ptCount val="1"/>
                <c:pt idx="0">
                  <c:v>Completed Effort</c:v>
                </c:pt>
              </c:strCache>
            </c:strRef>
          </c:tx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Sprint1'!$C$41:$AG$41</c:f>
              <c:numCache>
                <c:formatCode>General</c:formatCode>
                <c:ptCount val="31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7</c:v>
                </c:pt>
                <c:pt idx="6">
                  <c:v>10</c:v>
                </c:pt>
                <c:pt idx="7">
                  <c:v>4</c:v>
                </c:pt>
                <c:pt idx="8">
                  <c:v>4</c:v>
                </c:pt>
                <c:pt idx="9">
                  <c:v>6</c:v>
                </c:pt>
                <c:pt idx="10">
                  <c:v>8</c:v>
                </c:pt>
                <c:pt idx="11">
                  <c:v>7</c:v>
                </c:pt>
                <c:pt idx="12">
                  <c:v>5</c:v>
                </c:pt>
                <c:pt idx="13">
                  <c:v>6</c:v>
                </c:pt>
                <c:pt idx="14">
                  <c:v>4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2</c:v>
                </c:pt>
                <c:pt idx="19">
                  <c:v>5</c:v>
                </c:pt>
                <c:pt idx="20">
                  <c:v>6</c:v>
                </c:pt>
                <c:pt idx="21">
                  <c:v>14</c:v>
                </c:pt>
                <c:pt idx="22">
                  <c:v>15</c:v>
                </c:pt>
                <c:pt idx="23">
                  <c:v>15</c:v>
                </c:pt>
                <c:pt idx="24">
                  <c:v>12</c:v>
                </c:pt>
                <c:pt idx="25">
                  <c:v>9</c:v>
                </c:pt>
                <c:pt idx="26">
                  <c:v>9</c:v>
                </c:pt>
                <c:pt idx="27">
                  <c:v>1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150"/>
        <c:overlap val="0"/>
        <c:axId val="10545903"/>
        <c:axId val="19601782"/>
      </c:barChart>
      <c:lineChart>
        <c:grouping val="standard"/>
        <c:varyColors val="0"/>
        <c:ser>
          <c:idx val="1"/>
          <c:order val="1"/>
          <c:tx>
            <c:strRef>
              <c:f>"Remaining Effort"</c:f>
              <c:strCache>
                <c:ptCount val="1"/>
                <c:pt idx="0">
                  <c:v>Remaining Effort</c:v>
                </c:pt>
              </c:strCache>
            </c:strRef>
          </c:tx>
          <c:spPr>
            <a:solidFill>
              <a:srgbClr val="00b0f0"/>
            </a:solidFill>
            <a:ln w="28440">
              <a:solidFill>
                <a:srgbClr val="00b0f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Sprint1'!$D$42:$AG$42</c:f>
              <c:numCache>
                <c:formatCode>General</c:formatCode>
                <c:ptCount val="30"/>
                <c:pt idx="0">
                  <c:v>156</c:v>
                </c:pt>
                <c:pt idx="1">
                  <c:v>156</c:v>
                </c:pt>
                <c:pt idx="2">
                  <c:v>156</c:v>
                </c:pt>
                <c:pt idx="3">
                  <c:v>151</c:v>
                </c:pt>
                <c:pt idx="4">
                  <c:v>144</c:v>
                </c:pt>
                <c:pt idx="5">
                  <c:v>134</c:v>
                </c:pt>
                <c:pt idx="6">
                  <c:v>130</c:v>
                </c:pt>
                <c:pt idx="7">
                  <c:v>126</c:v>
                </c:pt>
                <c:pt idx="8">
                  <c:v>120</c:v>
                </c:pt>
                <c:pt idx="9">
                  <c:v>112</c:v>
                </c:pt>
                <c:pt idx="10">
                  <c:v>105</c:v>
                </c:pt>
                <c:pt idx="11">
                  <c:v>100</c:v>
                </c:pt>
                <c:pt idx="12">
                  <c:v>94</c:v>
                </c:pt>
                <c:pt idx="13">
                  <c:v>90</c:v>
                </c:pt>
                <c:pt idx="14">
                  <c:v>90</c:v>
                </c:pt>
                <c:pt idx="15">
                  <c:v>90</c:v>
                </c:pt>
                <c:pt idx="16">
                  <c:v>88</c:v>
                </c:pt>
                <c:pt idx="17">
                  <c:v>86</c:v>
                </c:pt>
                <c:pt idx="18">
                  <c:v>81</c:v>
                </c:pt>
                <c:pt idx="19">
                  <c:v>75</c:v>
                </c:pt>
                <c:pt idx="20">
                  <c:v>61</c:v>
                </c:pt>
                <c:pt idx="21">
                  <c:v>46</c:v>
                </c:pt>
                <c:pt idx="22">
                  <c:v>31</c:v>
                </c:pt>
                <c:pt idx="23">
                  <c:v>19</c:v>
                </c:pt>
                <c:pt idx="24">
                  <c:v>10</c:v>
                </c:pt>
                <c:pt idx="25">
                  <c:v>1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"Ideal Burndown"</c:f>
              <c:strCache>
                <c:ptCount val="1"/>
                <c:pt idx="0">
                  <c:v>Ideal Burndown</c:v>
                </c:pt>
              </c:strCache>
            </c:strRef>
          </c:tx>
          <c:spPr>
            <a:solidFill>
              <a:srgbClr val="92d050"/>
            </a:solidFill>
            <a:ln w="28440">
              <a:solidFill>
                <a:srgbClr val="92d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Sprint1'!$D$43:$AG$43</c:f>
              <c:numCache>
                <c:formatCode>General</c:formatCode>
                <c:ptCount val="30"/>
                <c:pt idx="0">
                  <c:v>156</c:v>
                </c:pt>
                <c:pt idx="1">
                  <c:v>150.620689655172</c:v>
                </c:pt>
                <c:pt idx="2">
                  <c:v>145.241379310345</c:v>
                </c:pt>
                <c:pt idx="3">
                  <c:v>139.862068965517</c:v>
                </c:pt>
                <c:pt idx="4">
                  <c:v>134.48275862069</c:v>
                </c:pt>
                <c:pt idx="5">
                  <c:v>129.103448275862</c:v>
                </c:pt>
                <c:pt idx="6">
                  <c:v>123.724137931034</c:v>
                </c:pt>
                <c:pt idx="7">
                  <c:v>118.344827586207</c:v>
                </c:pt>
                <c:pt idx="8">
                  <c:v>112.965517241379</c:v>
                </c:pt>
                <c:pt idx="9">
                  <c:v>107.586206896552</c:v>
                </c:pt>
                <c:pt idx="10">
                  <c:v>102.206896551724</c:v>
                </c:pt>
                <c:pt idx="11">
                  <c:v>96.8275862068965</c:v>
                </c:pt>
                <c:pt idx="12">
                  <c:v>91.448275862069</c:v>
                </c:pt>
                <c:pt idx="13">
                  <c:v>86.0689655172414</c:v>
                </c:pt>
                <c:pt idx="14">
                  <c:v>80.6896551724138</c:v>
                </c:pt>
                <c:pt idx="15">
                  <c:v>75.3103448275862</c:v>
                </c:pt>
                <c:pt idx="16">
                  <c:v>69.9310344827586</c:v>
                </c:pt>
                <c:pt idx="17">
                  <c:v>64.551724137931</c:v>
                </c:pt>
                <c:pt idx="18">
                  <c:v>59.1724137931034</c:v>
                </c:pt>
                <c:pt idx="19">
                  <c:v>53.7931034482759</c:v>
                </c:pt>
                <c:pt idx="20">
                  <c:v>48.4137931034483</c:v>
                </c:pt>
                <c:pt idx="21">
                  <c:v>43.0344827586207</c:v>
                </c:pt>
                <c:pt idx="22">
                  <c:v>37.6551724137931</c:v>
                </c:pt>
                <c:pt idx="23">
                  <c:v>32.2758620689655</c:v>
                </c:pt>
                <c:pt idx="24">
                  <c:v>26.8965517241379</c:v>
                </c:pt>
                <c:pt idx="25">
                  <c:v>21.5172413793104</c:v>
                </c:pt>
                <c:pt idx="26">
                  <c:v>16.1379310344828</c:v>
                </c:pt>
                <c:pt idx="27">
                  <c:v>10.7586206896552</c:v>
                </c:pt>
                <c:pt idx="28">
                  <c:v>5.37931034482759</c:v>
                </c:pt>
                <c:pt idx="29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0545903"/>
        <c:axId val="19601782"/>
      </c:lineChart>
      <c:catAx>
        <c:axId val="1054590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19601782"/>
        <c:crosses val="autoZero"/>
        <c:auto val="1"/>
        <c:lblAlgn val="ctr"/>
        <c:lblOffset val="100"/>
        <c:noMultiLvlLbl val="0"/>
      </c:catAx>
      <c:valAx>
        <c:axId val="19601782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1054590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757575"/>
                </a:solidFill>
                <a:latin typeface="Calibri"/>
                <a:ea typeface="Calibri"/>
              </a:defRPr>
            </a:pPr>
            <a:r>
              <a:rPr b="0" lang="en-US" sz="1400" spc="-1" strike="noStrike">
                <a:solidFill>
                  <a:srgbClr val="757575"/>
                </a:solidFill>
                <a:latin typeface="Calibri"/>
                <a:ea typeface="Calibri"/>
              </a:rPr>
              <a:t>First 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"Completed Effort"</c:f>
              <c:strCache>
                <c:ptCount val="1"/>
                <c:pt idx="0">
                  <c:v>Completed Effort</c:v>
                </c:pt>
              </c:strCache>
            </c:strRef>
          </c:tx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Sprint 2'!$D$41:$AP$41</c:f>
              <c:numCache>
                <c:formatCode>General</c:formatCode>
                <c:ptCount val="39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3</c:v>
                </c:pt>
                <c:pt idx="12">
                  <c:v>7</c:v>
                </c:pt>
                <c:pt idx="13">
                  <c:v>7</c:v>
                </c:pt>
                <c:pt idx="14">
                  <c:v>6</c:v>
                </c:pt>
                <c:pt idx="15">
                  <c:v>3</c:v>
                </c:pt>
                <c:pt idx="16">
                  <c:v>2</c:v>
                </c:pt>
                <c:pt idx="17">
                  <c:v>5</c:v>
                </c:pt>
                <c:pt idx="18">
                  <c:v>4</c:v>
                </c:pt>
                <c:pt idx="19">
                  <c:v>2</c:v>
                </c:pt>
                <c:pt idx="20">
                  <c:v>1</c:v>
                </c:pt>
                <c:pt idx="21">
                  <c:v>3</c:v>
                </c:pt>
                <c:pt idx="22">
                  <c:v>4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</c:ser>
        <c:gapWidth val="150"/>
        <c:overlap val="0"/>
        <c:axId val="71061292"/>
        <c:axId val="27123441"/>
      </c:barChart>
      <c:lineChart>
        <c:grouping val="standard"/>
        <c:varyColors val="0"/>
        <c:ser>
          <c:idx val="1"/>
          <c:order val="1"/>
          <c:spPr>
            <a:solidFill>
              <a:srgbClr val="5b9bd5"/>
            </a:solidFill>
            <a:ln w="1908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Sprint 2'!$D$42:$AP$42</c:f>
              <c:numCache>
                <c:formatCode>General</c:formatCode>
                <c:ptCount val="39"/>
                <c:pt idx="0">
                  <c:v>81</c:v>
                </c:pt>
                <c:pt idx="1">
                  <c:v>78</c:v>
                </c:pt>
                <c:pt idx="2">
                  <c:v>75</c:v>
                </c:pt>
                <c:pt idx="3">
                  <c:v>74</c:v>
                </c:pt>
                <c:pt idx="4">
                  <c:v>74</c:v>
                </c:pt>
                <c:pt idx="5">
                  <c:v>72</c:v>
                </c:pt>
                <c:pt idx="6">
                  <c:v>70</c:v>
                </c:pt>
                <c:pt idx="7">
                  <c:v>69</c:v>
                </c:pt>
                <c:pt idx="8">
                  <c:v>69</c:v>
                </c:pt>
                <c:pt idx="9">
                  <c:v>69</c:v>
                </c:pt>
                <c:pt idx="10">
                  <c:v>68</c:v>
                </c:pt>
                <c:pt idx="11">
                  <c:v>65</c:v>
                </c:pt>
                <c:pt idx="12">
                  <c:v>58</c:v>
                </c:pt>
                <c:pt idx="13">
                  <c:v>51</c:v>
                </c:pt>
                <c:pt idx="14">
                  <c:v>45</c:v>
                </c:pt>
                <c:pt idx="15">
                  <c:v>42</c:v>
                </c:pt>
                <c:pt idx="16">
                  <c:v>40</c:v>
                </c:pt>
                <c:pt idx="17">
                  <c:v>35</c:v>
                </c:pt>
                <c:pt idx="18">
                  <c:v>31</c:v>
                </c:pt>
                <c:pt idx="19">
                  <c:v>29</c:v>
                </c:pt>
                <c:pt idx="20">
                  <c:v>28</c:v>
                </c:pt>
                <c:pt idx="21">
                  <c:v>25</c:v>
                </c:pt>
                <c:pt idx="22">
                  <c:v>21</c:v>
                </c:pt>
                <c:pt idx="23">
                  <c:v>20</c:v>
                </c:pt>
                <c:pt idx="24">
                  <c:v>18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"Ideal Burndown"</c:f>
              <c:strCache>
                <c:ptCount val="1"/>
                <c:pt idx="0">
                  <c:v>Ideal Burndown</c:v>
                </c:pt>
              </c:strCache>
            </c:strRef>
          </c:tx>
          <c:spPr>
            <a:solidFill>
              <a:srgbClr val="70ad47"/>
            </a:solidFill>
            <a:ln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Sprint 2'!$D$43:$AP$43</c:f>
              <c:numCache>
                <c:formatCode>General</c:formatCode>
                <c:ptCount val="39"/>
                <c:pt idx="0">
                  <c:v>81</c:v>
                </c:pt>
                <c:pt idx="1">
                  <c:v>78.8684210526316</c:v>
                </c:pt>
                <c:pt idx="2">
                  <c:v>76.7368421052632</c:v>
                </c:pt>
                <c:pt idx="3">
                  <c:v>74.6052631578947</c:v>
                </c:pt>
                <c:pt idx="4">
                  <c:v>72.4736842105263</c:v>
                </c:pt>
                <c:pt idx="5">
                  <c:v>70.3421052631579</c:v>
                </c:pt>
                <c:pt idx="6">
                  <c:v>68.2105263157895</c:v>
                </c:pt>
                <c:pt idx="7">
                  <c:v>66.0789473684211</c:v>
                </c:pt>
                <c:pt idx="8">
                  <c:v>63.9473684210526</c:v>
                </c:pt>
                <c:pt idx="9">
                  <c:v>61.8157894736842</c:v>
                </c:pt>
                <c:pt idx="10">
                  <c:v>59.6842105263158</c:v>
                </c:pt>
                <c:pt idx="11">
                  <c:v>57.5526315789474</c:v>
                </c:pt>
                <c:pt idx="12">
                  <c:v>55.4210526315789</c:v>
                </c:pt>
                <c:pt idx="13">
                  <c:v>53.2894736842105</c:v>
                </c:pt>
                <c:pt idx="14">
                  <c:v>51.1578947368421</c:v>
                </c:pt>
                <c:pt idx="15">
                  <c:v>49.0263157894737</c:v>
                </c:pt>
                <c:pt idx="16">
                  <c:v>46.8947368421053</c:v>
                </c:pt>
                <c:pt idx="17">
                  <c:v>44.7631578947368</c:v>
                </c:pt>
                <c:pt idx="18">
                  <c:v>42.6315789473684</c:v>
                </c:pt>
                <c:pt idx="19">
                  <c:v>40.5</c:v>
                </c:pt>
                <c:pt idx="20">
                  <c:v>38.3684210526316</c:v>
                </c:pt>
                <c:pt idx="21">
                  <c:v>36.2368421052632</c:v>
                </c:pt>
                <c:pt idx="22">
                  <c:v>34.1052631578947</c:v>
                </c:pt>
                <c:pt idx="23">
                  <c:v>31.9736842105263</c:v>
                </c:pt>
                <c:pt idx="24">
                  <c:v>29.8421052631579</c:v>
                </c:pt>
                <c:pt idx="25">
                  <c:v>27.7105263157895</c:v>
                </c:pt>
                <c:pt idx="26">
                  <c:v>25.578947368421</c:v>
                </c:pt>
                <c:pt idx="27">
                  <c:v>23.4473684210526</c:v>
                </c:pt>
                <c:pt idx="28">
                  <c:v>21.3157894736842</c:v>
                </c:pt>
                <c:pt idx="29">
                  <c:v>19.1842105263158</c:v>
                </c:pt>
                <c:pt idx="30">
                  <c:v>17.0526315789474</c:v>
                </c:pt>
                <c:pt idx="31">
                  <c:v>14.9210526315789</c:v>
                </c:pt>
                <c:pt idx="32">
                  <c:v>12.7894736842105</c:v>
                </c:pt>
                <c:pt idx="33">
                  <c:v>10.6578947368421</c:v>
                </c:pt>
                <c:pt idx="34">
                  <c:v>8.52631578947367</c:v>
                </c:pt>
                <c:pt idx="35">
                  <c:v>6.39473684210526</c:v>
                </c:pt>
                <c:pt idx="36">
                  <c:v>4.26315789473684</c:v>
                </c:pt>
                <c:pt idx="37">
                  <c:v>2.13157894736841</c:v>
                </c:pt>
                <c:pt idx="38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1061292"/>
        <c:axId val="27123441"/>
      </c:lineChart>
      <c:catAx>
        <c:axId val="7106129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27123441"/>
        <c:crosses val="autoZero"/>
        <c:auto val="1"/>
        <c:lblAlgn val="ctr"/>
        <c:lblOffset val="100"/>
        <c:noMultiLvlLbl val="0"/>
      </c:catAx>
      <c:valAx>
        <c:axId val="2712344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106129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pt-PT" sz="1400" spc="-1" strike="noStrike">
                <a:solidFill>
                  <a:srgbClr val="757575"/>
                </a:solidFill>
                <a:latin typeface="Calibri"/>
                <a:ea typeface="Calibri"/>
              </a:defRPr>
            </a:pPr>
            <a:r>
              <a:rPr b="0" lang="pt-PT" sz="1400" spc="-1" strike="noStrike">
                <a:solidFill>
                  <a:srgbClr val="757575"/>
                </a:solidFill>
                <a:latin typeface="Calibri"/>
                <a:ea typeface="Calibri"/>
              </a:rPr>
              <a:t>Semana1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"Completed Effort"</c:f>
              <c:strCache>
                <c:ptCount val="1"/>
                <c:pt idx="0">
                  <c:v>Completed Effort</c:v>
                </c:pt>
              </c:strCache>
            </c:strRef>
          </c:tx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s1'!$C$11:$K$11</c:f>
              <c:numCache>
                <c:formatCode>General</c:formatCode>
                <c:ptCount val="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7</c:v>
                </c:pt>
                <c:pt idx="6">
                  <c:v>10</c:v>
                </c:pt>
                <c:pt idx="7">
                  <c:v>4</c:v>
                </c:pt>
                <c:pt idx="8">
                  <c:v>4</c:v>
                </c:pt>
              </c:numCache>
            </c:numRef>
          </c:val>
        </c:ser>
        <c:gapWidth val="150"/>
        <c:overlap val="0"/>
        <c:axId val="91495153"/>
        <c:axId val="79347629"/>
      </c:barChart>
      <c:lineChart>
        <c:grouping val="standard"/>
        <c:varyColors val="0"/>
        <c:ser>
          <c:idx val="1"/>
          <c:order val="1"/>
          <c:tx>
            <c:strRef>
              <c:f>"Remaining Effort"</c:f>
              <c:strCache>
                <c:ptCount val="1"/>
                <c:pt idx="0">
                  <c:v>Remaining Effort</c:v>
                </c:pt>
              </c:strCache>
            </c:strRef>
          </c:tx>
          <c:spPr>
            <a:solidFill>
              <a:srgbClr val="00b0f0"/>
            </a:solidFill>
            <a:ln w="28440">
              <a:solidFill>
                <a:srgbClr val="00b0f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s1'!$C$12:$K$12</c:f>
              <c:numCache>
                <c:formatCode>General</c:formatCode>
                <c:ptCount val="9"/>
                <c:pt idx="1">
                  <c:v>30</c:v>
                </c:pt>
                <c:pt idx="2">
                  <c:v>30</c:v>
                </c:pt>
                <c:pt idx="3">
                  <c:v>30</c:v>
                </c:pt>
                <c:pt idx="4">
                  <c:v>25</c:v>
                </c:pt>
                <c:pt idx="5">
                  <c:v>18</c:v>
                </c:pt>
                <c:pt idx="6">
                  <c:v>8</c:v>
                </c:pt>
                <c:pt idx="7">
                  <c:v>4</c:v>
                </c:pt>
                <c:pt idx="8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"Ideal Burndown"</c:f>
              <c:strCache>
                <c:ptCount val="1"/>
                <c:pt idx="0">
                  <c:v>Ideal Burndown</c:v>
                </c:pt>
              </c:strCache>
            </c:strRef>
          </c:tx>
          <c:spPr>
            <a:solidFill>
              <a:srgbClr val="92d050"/>
            </a:solidFill>
            <a:ln w="28440">
              <a:solidFill>
                <a:srgbClr val="92d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s1'!$C$13:$K$13</c:f>
              <c:numCache>
                <c:formatCode>General</c:formatCode>
                <c:ptCount val="9"/>
                <c:pt idx="1">
                  <c:v>30</c:v>
                </c:pt>
                <c:pt idx="2">
                  <c:v>25.7142857142857</c:v>
                </c:pt>
                <c:pt idx="3">
                  <c:v>21.4285714285714</c:v>
                </c:pt>
                <c:pt idx="4">
                  <c:v>17.1428571428571</c:v>
                </c:pt>
                <c:pt idx="5">
                  <c:v>12.8571428571429</c:v>
                </c:pt>
                <c:pt idx="6">
                  <c:v>8.57142857142857</c:v>
                </c:pt>
                <c:pt idx="7">
                  <c:v>4.28571428571429</c:v>
                </c:pt>
                <c:pt idx="8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1495153"/>
        <c:axId val="79347629"/>
      </c:lineChart>
      <c:catAx>
        <c:axId val="9149515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9347629"/>
        <c:crosses val="autoZero"/>
        <c:auto val="1"/>
        <c:lblAlgn val="ctr"/>
        <c:lblOffset val="100"/>
        <c:noMultiLvlLbl val="0"/>
      </c:catAx>
      <c:valAx>
        <c:axId val="79347629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149515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pt-PT" sz="1400" spc="-1" strike="noStrike">
                <a:solidFill>
                  <a:srgbClr val="757575"/>
                </a:solidFill>
                <a:latin typeface="Calibri"/>
                <a:ea typeface="Calibri"/>
              </a:defRPr>
            </a:pPr>
            <a:r>
              <a:rPr b="0" lang="pt-PT" sz="1400" spc="-1" strike="noStrike">
                <a:solidFill>
                  <a:srgbClr val="757575"/>
                </a:solidFill>
                <a:latin typeface="Calibri"/>
                <a:ea typeface="Calibri"/>
              </a:rPr>
              <a:t>Semana2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"Completed Effort"</c:f>
              <c:strCache>
                <c:ptCount val="1"/>
                <c:pt idx="0">
                  <c:v>Completed Effort</c:v>
                </c:pt>
              </c:strCache>
            </c:strRef>
          </c:tx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s2'!$C$20:$K$20</c:f>
              <c:numCache>
                <c:formatCode>General</c:formatCode>
                <c:ptCount val="9"/>
                <c:pt idx="1">
                  <c:v>0</c:v>
                </c:pt>
                <c:pt idx="2">
                  <c:v>6</c:v>
                </c:pt>
                <c:pt idx="3">
                  <c:v>8</c:v>
                </c:pt>
                <c:pt idx="4">
                  <c:v>7</c:v>
                </c:pt>
                <c:pt idx="5">
                  <c:v>5</c:v>
                </c:pt>
                <c:pt idx="6">
                  <c:v>6</c:v>
                </c:pt>
                <c:pt idx="7">
                  <c:v>4</c:v>
                </c:pt>
                <c:pt idx="8">
                  <c:v>0</c:v>
                </c:pt>
              </c:numCache>
            </c:numRef>
          </c:val>
        </c:ser>
        <c:gapWidth val="150"/>
        <c:overlap val="0"/>
        <c:axId val="55823780"/>
        <c:axId val="41869590"/>
      </c:barChart>
      <c:lineChart>
        <c:grouping val="standard"/>
        <c:varyColors val="0"/>
        <c:ser>
          <c:idx val="1"/>
          <c:order val="1"/>
          <c:tx>
            <c:strRef>
              <c:f>"Remaining Effort"</c:f>
              <c:strCache>
                <c:ptCount val="1"/>
                <c:pt idx="0">
                  <c:v>Remaining Effort</c:v>
                </c:pt>
              </c:strCache>
            </c:strRef>
          </c:tx>
          <c:spPr>
            <a:solidFill>
              <a:srgbClr val="00b0f0"/>
            </a:solidFill>
            <a:ln w="28440">
              <a:solidFill>
                <a:srgbClr val="00b0f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s2'!$C$21:$K$21</c:f>
              <c:numCache>
                <c:formatCode>General</c:formatCode>
                <c:ptCount val="9"/>
                <c:pt idx="1">
                  <c:v>52</c:v>
                </c:pt>
                <c:pt idx="2">
                  <c:v>46</c:v>
                </c:pt>
                <c:pt idx="3">
                  <c:v>38</c:v>
                </c:pt>
                <c:pt idx="4">
                  <c:v>31</c:v>
                </c:pt>
                <c:pt idx="5">
                  <c:v>26</c:v>
                </c:pt>
                <c:pt idx="6">
                  <c:v>20</c:v>
                </c:pt>
                <c:pt idx="7">
                  <c:v>16</c:v>
                </c:pt>
                <c:pt idx="8">
                  <c:v>16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"Ideal Burndown"</c:f>
              <c:strCache>
                <c:ptCount val="1"/>
                <c:pt idx="0">
                  <c:v>Ideal Burndown</c:v>
                </c:pt>
              </c:strCache>
            </c:strRef>
          </c:tx>
          <c:spPr>
            <a:solidFill>
              <a:srgbClr val="92d050"/>
            </a:solidFill>
            <a:ln w="28440">
              <a:solidFill>
                <a:srgbClr val="92d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s2'!$C$22:$K$22</c:f>
              <c:numCache>
                <c:formatCode>General</c:formatCode>
                <c:ptCount val="9"/>
                <c:pt idx="1">
                  <c:v>52</c:v>
                </c:pt>
                <c:pt idx="2">
                  <c:v>44.5714285714286</c:v>
                </c:pt>
                <c:pt idx="3">
                  <c:v>37.1428571428571</c:v>
                </c:pt>
                <c:pt idx="4">
                  <c:v>29.7142857142857</c:v>
                </c:pt>
                <c:pt idx="5">
                  <c:v>22.2857142857143</c:v>
                </c:pt>
                <c:pt idx="6">
                  <c:v>14.8571428571429</c:v>
                </c:pt>
                <c:pt idx="7">
                  <c:v>7.42857142857143</c:v>
                </c:pt>
                <c:pt idx="8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5823780"/>
        <c:axId val="41869590"/>
      </c:lineChart>
      <c:catAx>
        <c:axId val="558237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41869590"/>
        <c:crosses val="autoZero"/>
        <c:auto val="1"/>
        <c:lblAlgn val="ctr"/>
        <c:lblOffset val="100"/>
        <c:noMultiLvlLbl val="0"/>
      </c:catAx>
      <c:valAx>
        <c:axId val="4186959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5582378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pt-PT" sz="1400" spc="-1" strike="noStrike">
                <a:solidFill>
                  <a:srgbClr val="757575"/>
                </a:solidFill>
                <a:latin typeface="Calibri"/>
                <a:ea typeface="Calibri"/>
              </a:defRPr>
            </a:pPr>
            <a:r>
              <a:rPr b="0" lang="pt-PT" sz="1400" spc="-1" strike="noStrike">
                <a:solidFill>
                  <a:srgbClr val="757575"/>
                </a:solidFill>
                <a:latin typeface="Calibri"/>
                <a:ea typeface="Calibri"/>
              </a:rPr>
              <a:t>Semana3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"Completed Effort"</c:f>
              <c:strCache>
                <c:ptCount val="1"/>
                <c:pt idx="0">
                  <c:v>Completed Effort</c:v>
                </c:pt>
              </c:strCache>
            </c:strRef>
          </c:tx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s3'!$C$14:$K$14</c:f>
              <c:numCache>
                <c:formatCode>General</c:formatCode>
                <c:ptCount val="9"/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5</c:v>
                </c:pt>
                <c:pt idx="6">
                  <c:v>6</c:v>
                </c:pt>
                <c:pt idx="7">
                  <c:v>10</c:v>
                </c:pt>
                <c:pt idx="8">
                  <c:v>13</c:v>
                </c:pt>
              </c:numCache>
            </c:numRef>
          </c:val>
        </c:ser>
        <c:gapWidth val="150"/>
        <c:overlap val="0"/>
        <c:axId val="92310431"/>
        <c:axId val="30596653"/>
      </c:barChart>
      <c:lineChart>
        <c:grouping val="standard"/>
        <c:varyColors val="0"/>
        <c:ser>
          <c:idx val="1"/>
          <c:order val="1"/>
          <c:tx>
            <c:strRef>
              <c:f>"Remaining Effort"</c:f>
              <c:strCache>
                <c:ptCount val="1"/>
                <c:pt idx="0">
                  <c:v>Remaining Effort</c:v>
                </c:pt>
              </c:strCache>
            </c:strRef>
          </c:tx>
          <c:spPr>
            <a:solidFill>
              <a:srgbClr val="00b0f0"/>
            </a:solidFill>
            <a:ln w="28440">
              <a:solidFill>
                <a:srgbClr val="00b0f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s3'!$C$15:$K$15</c:f>
              <c:numCache>
                <c:formatCode>General</c:formatCode>
                <c:ptCount val="9"/>
                <c:pt idx="1">
                  <c:v>48</c:v>
                </c:pt>
                <c:pt idx="2">
                  <c:v>48</c:v>
                </c:pt>
                <c:pt idx="3">
                  <c:v>46</c:v>
                </c:pt>
                <c:pt idx="4">
                  <c:v>44</c:v>
                </c:pt>
                <c:pt idx="5">
                  <c:v>39</c:v>
                </c:pt>
                <c:pt idx="6">
                  <c:v>33</c:v>
                </c:pt>
                <c:pt idx="7">
                  <c:v>23</c:v>
                </c:pt>
                <c:pt idx="8">
                  <c:v>10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"Ideal Burndown"</c:f>
              <c:strCache>
                <c:ptCount val="1"/>
                <c:pt idx="0">
                  <c:v>Ideal Burndown</c:v>
                </c:pt>
              </c:strCache>
            </c:strRef>
          </c:tx>
          <c:spPr>
            <a:solidFill>
              <a:srgbClr val="92d050"/>
            </a:solidFill>
            <a:ln w="28440">
              <a:solidFill>
                <a:srgbClr val="92d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s3'!$C$16:$K$16</c:f>
              <c:numCache>
                <c:formatCode>General</c:formatCode>
                <c:ptCount val="9"/>
                <c:pt idx="1">
                  <c:v>48</c:v>
                </c:pt>
                <c:pt idx="2">
                  <c:v>41.1428571428571</c:v>
                </c:pt>
                <c:pt idx="3">
                  <c:v>34.2857142857143</c:v>
                </c:pt>
                <c:pt idx="4">
                  <c:v>27.4285714285714</c:v>
                </c:pt>
                <c:pt idx="5">
                  <c:v>20.5714285714286</c:v>
                </c:pt>
                <c:pt idx="6">
                  <c:v>13.7142857142857</c:v>
                </c:pt>
                <c:pt idx="7">
                  <c:v>6.85714285714286</c:v>
                </c:pt>
                <c:pt idx="8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2310431"/>
        <c:axId val="30596653"/>
      </c:lineChart>
      <c:catAx>
        <c:axId val="923104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0596653"/>
        <c:crosses val="autoZero"/>
        <c:auto val="1"/>
        <c:lblAlgn val="ctr"/>
        <c:lblOffset val="100"/>
        <c:noMultiLvlLbl val="0"/>
      </c:catAx>
      <c:valAx>
        <c:axId val="3059665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231043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pt-PT" sz="1400" spc="-1" strike="noStrike">
                <a:solidFill>
                  <a:srgbClr val="757575"/>
                </a:solidFill>
                <a:latin typeface="Calibri"/>
                <a:ea typeface="Calibri"/>
              </a:defRPr>
            </a:pPr>
            <a:r>
              <a:rPr b="0" lang="pt-PT" sz="1400" spc="-1" strike="noStrike">
                <a:solidFill>
                  <a:srgbClr val="757575"/>
                </a:solidFill>
                <a:latin typeface="Calibri"/>
                <a:ea typeface="Calibri"/>
              </a:rPr>
              <a:t>Semana4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"Completed Effort"</c:f>
              <c:strCache>
                <c:ptCount val="1"/>
                <c:pt idx="0">
                  <c:v>Completed Effort</c:v>
                </c:pt>
              </c:strCache>
            </c:strRef>
          </c:tx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s4'!$C$16:$K$16</c:f>
              <c:numCache>
                <c:formatCode>General</c:formatCode>
                <c:ptCount val="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gapWidth val="150"/>
        <c:overlap val="0"/>
        <c:axId val="75401351"/>
        <c:axId val="69485800"/>
      </c:barChart>
      <c:lineChart>
        <c:grouping val="standard"/>
        <c:varyColors val="0"/>
        <c:ser>
          <c:idx val="1"/>
          <c:order val="1"/>
          <c:tx>
            <c:strRef>
              <c:f>"Remaining Effort"</c:f>
              <c:strCache>
                <c:ptCount val="1"/>
                <c:pt idx="0">
                  <c:v>Remaining Effort</c:v>
                </c:pt>
              </c:strCache>
            </c:strRef>
          </c:tx>
          <c:spPr>
            <a:solidFill>
              <a:srgbClr val="00b0f0"/>
            </a:solidFill>
            <a:ln w="28440">
              <a:solidFill>
                <a:srgbClr val="00b0f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s4'!$C$17:$K$17</c:f>
              <c:numCache>
                <c:formatCode>General</c:formatCode>
                <c:ptCount val="9"/>
                <c:pt idx="1">
                  <c:v>51</c:v>
                </c:pt>
                <c:pt idx="2">
                  <c:v>51</c:v>
                </c:pt>
                <c:pt idx="3">
                  <c:v>51</c:v>
                </c:pt>
                <c:pt idx="4">
                  <c:v>51</c:v>
                </c:pt>
                <c:pt idx="5">
                  <c:v>51</c:v>
                </c:pt>
                <c:pt idx="6">
                  <c:v>51</c:v>
                </c:pt>
                <c:pt idx="7">
                  <c:v>51</c:v>
                </c:pt>
                <c:pt idx="8">
                  <c:v>51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"Ideal Burndown"</c:f>
              <c:strCache>
                <c:ptCount val="1"/>
                <c:pt idx="0">
                  <c:v>Ideal Burndown</c:v>
                </c:pt>
              </c:strCache>
            </c:strRef>
          </c:tx>
          <c:spPr>
            <a:solidFill>
              <a:srgbClr val="92d050"/>
            </a:solidFill>
            <a:ln w="28440">
              <a:solidFill>
                <a:srgbClr val="92d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'Burndown Chart s4'!$C$18:$K$18</c:f>
              <c:numCache>
                <c:formatCode>General</c:formatCode>
                <c:ptCount val="9"/>
                <c:pt idx="1">
                  <c:v>51</c:v>
                </c:pt>
                <c:pt idx="2">
                  <c:v>43.7142857142857</c:v>
                </c:pt>
                <c:pt idx="3">
                  <c:v>36.4285714285714</c:v>
                </c:pt>
                <c:pt idx="4">
                  <c:v>29.1428571428571</c:v>
                </c:pt>
                <c:pt idx="5">
                  <c:v>21.8571428571429</c:v>
                </c:pt>
                <c:pt idx="6">
                  <c:v>14.5714285714286</c:v>
                </c:pt>
                <c:pt idx="7">
                  <c:v>7.28571428571429</c:v>
                </c:pt>
                <c:pt idx="8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5401351"/>
        <c:axId val="69485800"/>
      </c:lineChart>
      <c:catAx>
        <c:axId val="7540135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69485800"/>
        <c:crosses val="autoZero"/>
        <c:auto val="1"/>
        <c:lblAlgn val="ctr"/>
        <c:lblOffset val="100"/>
        <c:noMultiLvlLbl val="0"/>
      </c:catAx>
      <c:valAx>
        <c:axId val="6948580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540135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1a1a1a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838080</xdr:colOff>
      <xdr:row>45</xdr:row>
      <xdr:rowOff>28440</xdr:rowOff>
    </xdr:from>
    <xdr:to>
      <xdr:col>10</xdr:col>
      <xdr:colOff>457560</xdr:colOff>
      <xdr:row>80</xdr:row>
      <xdr:rowOff>9000</xdr:rowOff>
    </xdr:to>
    <xdr:graphicFrame>
      <xdr:nvGraphicFramePr>
        <xdr:cNvPr id="0" name="Chart 1"/>
        <xdr:cNvGraphicFramePr/>
      </xdr:nvGraphicFramePr>
      <xdr:xfrm>
        <a:off x="1973520" y="7943760"/>
        <a:ext cx="11448720" cy="5981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838080</xdr:colOff>
      <xdr:row>45</xdr:row>
      <xdr:rowOff>28440</xdr:rowOff>
    </xdr:from>
    <xdr:to>
      <xdr:col>10</xdr:col>
      <xdr:colOff>457560</xdr:colOff>
      <xdr:row>80</xdr:row>
      <xdr:rowOff>9000</xdr:rowOff>
    </xdr:to>
    <xdr:graphicFrame>
      <xdr:nvGraphicFramePr>
        <xdr:cNvPr id="1" name="Chart 1"/>
        <xdr:cNvGraphicFramePr/>
      </xdr:nvGraphicFramePr>
      <xdr:xfrm>
        <a:off x="1973520" y="7962840"/>
        <a:ext cx="11448720" cy="5981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466560</xdr:colOff>
      <xdr:row>15</xdr:row>
      <xdr:rowOff>13320</xdr:rowOff>
    </xdr:from>
    <xdr:to>
      <xdr:col>8</xdr:col>
      <xdr:colOff>657360</xdr:colOff>
      <xdr:row>45</xdr:row>
      <xdr:rowOff>41760</xdr:rowOff>
    </xdr:to>
    <xdr:graphicFrame>
      <xdr:nvGraphicFramePr>
        <xdr:cNvPr id="2" name="Chart 2"/>
        <xdr:cNvGraphicFramePr/>
      </xdr:nvGraphicFramePr>
      <xdr:xfrm>
        <a:off x="1602000" y="2990880"/>
        <a:ext cx="9353160" cy="5981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352440</xdr:colOff>
      <xdr:row>23</xdr:row>
      <xdr:rowOff>22680</xdr:rowOff>
    </xdr:from>
    <xdr:to>
      <xdr:col>8</xdr:col>
      <xdr:colOff>646200</xdr:colOff>
      <xdr:row>53</xdr:row>
      <xdr:rowOff>3600</xdr:rowOff>
    </xdr:to>
    <xdr:graphicFrame>
      <xdr:nvGraphicFramePr>
        <xdr:cNvPr id="3" name="Chart 3"/>
        <xdr:cNvGraphicFramePr/>
      </xdr:nvGraphicFramePr>
      <xdr:xfrm>
        <a:off x="1487880" y="4552920"/>
        <a:ext cx="9362880" cy="5981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695160</xdr:colOff>
      <xdr:row>17</xdr:row>
      <xdr:rowOff>51480</xdr:rowOff>
    </xdr:from>
    <xdr:to>
      <xdr:col>9</xdr:col>
      <xdr:colOff>188640</xdr:colOff>
      <xdr:row>47</xdr:row>
      <xdr:rowOff>60480</xdr:rowOff>
    </xdr:to>
    <xdr:graphicFrame>
      <xdr:nvGraphicFramePr>
        <xdr:cNvPr id="4" name="Chart 4"/>
        <xdr:cNvGraphicFramePr/>
      </xdr:nvGraphicFramePr>
      <xdr:xfrm>
        <a:off x="1830600" y="3390840"/>
        <a:ext cx="9267480" cy="5981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695160</xdr:colOff>
      <xdr:row>19</xdr:row>
      <xdr:rowOff>152280</xdr:rowOff>
    </xdr:from>
    <xdr:to>
      <xdr:col>9</xdr:col>
      <xdr:colOff>188640</xdr:colOff>
      <xdr:row>49</xdr:row>
      <xdr:rowOff>133200</xdr:rowOff>
    </xdr:to>
    <xdr:graphicFrame>
      <xdr:nvGraphicFramePr>
        <xdr:cNvPr id="5" name="Chart 5"/>
        <xdr:cNvGraphicFramePr/>
      </xdr:nvGraphicFramePr>
      <xdr:xfrm>
        <a:off x="1830600" y="3429000"/>
        <a:ext cx="9267480" cy="5124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Q100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W51" activeCellId="0" sqref="W5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7.11"/>
    <col collapsed="false" customWidth="true" hidden="false" outlineLevel="0" max="3" min="3" style="0" width="73.11"/>
    <col collapsed="false" customWidth="true" hidden="false" outlineLevel="0" max="4" min="4" style="0" width="16.89"/>
    <col collapsed="false" customWidth="true" hidden="false" outlineLevel="0" max="33" min="5" style="0" width="12.97"/>
    <col collapsed="false" customWidth="true" hidden="false" outlineLevel="0" max="43" min="34" style="0" width="9"/>
  </cols>
  <sheetData>
    <row r="1" customFormat="false" ht="13.5" hidden="false" customHeight="true" outlineLevel="0" collapsed="false"/>
    <row r="2" customFormat="false" ht="26.25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customFormat="false" ht="13.5" hidden="false" customHeight="true" outlineLevel="0" collapsed="false">
      <c r="B3" s="2"/>
      <c r="C3" s="2"/>
      <c r="D3" s="2"/>
      <c r="E3" s="2"/>
      <c r="F3" s="2"/>
      <c r="G3" s="2"/>
      <c r="H3" s="2"/>
      <c r="I3" s="2"/>
      <c r="J3" s="2"/>
      <c r="K3" s="2"/>
      <c r="AG3" s="3"/>
    </row>
    <row r="4" customFormat="false" ht="15" hidden="false" customHeight="true" outlineLevel="0" collapsed="false">
      <c r="B4" s="4" t="s">
        <v>1</v>
      </c>
      <c r="C4" s="5" t="s">
        <v>2</v>
      </c>
      <c r="D4" s="6" t="s">
        <v>3</v>
      </c>
      <c r="E4" s="7" t="n">
        <v>45928</v>
      </c>
      <c r="F4" s="8" t="n">
        <v>45929</v>
      </c>
      <c r="G4" s="8" t="n">
        <v>45930</v>
      </c>
      <c r="H4" s="8" t="n">
        <v>45931</v>
      </c>
      <c r="I4" s="8" t="n">
        <v>45932</v>
      </c>
      <c r="J4" s="8" t="n">
        <v>45933</v>
      </c>
      <c r="K4" s="8" t="n">
        <v>45934</v>
      </c>
      <c r="L4" s="8" t="n">
        <v>45935</v>
      </c>
      <c r="M4" s="8" t="n">
        <v>45936</v>
      </c>
      <c r="N4" s="8" t="n">
        <v>45937</v>
      </c>
      <c r="O4" s="8" t="n">
        <v>45938</v>
      </c>
      <c r="P4" s="8" t="n">
        <v>45939</v>
      </c>
      <c r="Q4" s="8" t="n">
        <v>45940</v>
      </c>
      <c r="R4" s="8" t="n">
        <v>45941</v>
      </c>
      <c r="S4" s="8" t="n">
        <v>45942</v>
      </c>
      <c r="T4" s="8" t="n">
        <v>45943</v>
      </c>
      <c r="U4" s="8" t="n">
        <v>45944</v>
      </c>
      <c r="V4" s="8" t="n">
        <v>45945</v>
      </c>
      <c r="W4" s="8" t="n">
        <v>45946</v>
      </c>
      <c r="X4" s="8" t="n">
        <v>45947</v>
      </c>
      <c r="Y4" s="8" t="n">
        <v>45948</v>
      </c>
      <c r="Z4" s="8" t="n">
        <v>45949</v>
      </c>
      <c r="AA4" s="8" t="n">
        <v>45950</v>
      </c>
      <c r="AB4" s="8" t="n">
        <v>45951</v>
      </c>
      <c r="AC4" s="8" t="n">
        <v>45952</v>
      </c>
      <c r="AD4" s="8" t="n">
        <v>45953</v>
      </c>
      <c r="AE4" s="8" t="n">
        <v>45954</v>
      </c>
      <c r="AF4" s="8" t="n">
        <v>45955</v>
      </c>
      <c r="AG4" s="8" t="n">
        <v>45956</v>
      </c>
    </row>
    <row r="5" customFormat="false" ht="13.5" hidden="false" customHeight="true" outlineLevel="0" collapsed="false">
      <c r="B5" s="4"/>
      <c r="C5" s="5"/>
      <c r="D5" s="6"/>
      <c r="E5" s="9" t="s">
        <v>4</v>
      </c>
      <c r="F5" s="10" t="s">
        <v>5</v>
      </c>
      <c r="G5" s="10" t="s">
        <v>6</v>
      </c>
      <c r="H5" s="10" t="s">
        <v>7</v>
      </c>
      <c r="I5" s="10" t="s">
        <v>8</v>
      </c>
      <c r="J5" s="10" t="s">
        <v>9</v>
      </c>
      <c r="K5" s="10" t="s">
        <v>10</v>
      </c>
      <c r="L5" s="10" t="s">
        <v>11</v>
      </c>
      <c r="M5" s="10" t="s">
        <v>12</v>
      </c>
      <c r="N5" s="10" t="s">
        <v>13</v>
      </c>
      <c r="O5" s="10" t="s">
        <v>14</v>
      </c>
      <c r="P5" s="10" t="s">
        <v>15</v>
      </c>
      <c r="Q5" s="10" t="s">
        <v>16</v>
      </c>
      <c r="R5" s="10" t="s">
        <v>17</v>
      </c>
      <c r="S5" s="10" t="s">
        <v>18</v>
      </c>
      <c r="T5" s="10" t="s">
        <v>19</v>
      </c>
      <c r="U5" s="10" t="s">
        <v>20</v>
      </c>
      <c r="V5" s="10" t="s">
        <v>21</v>
      </c>
      <c r="W5" s="10" t="s">
        <v>22</v>
      </c>
      <c r="X5" s="10" t="s">
        <v>23</v>
      </c>
      <c r="Y5" s="10" t="s">
        <v>24</v>
      </c>
      <c r="Z5" s="10" t="s">
        <v>25</v>
      </c>
      <c r="AA5" s="10" t="s">
        <v>26</v>
      </c>
      <c r="AB5" s="10" t="s">
        <v>27</v>
      </c>
      <c r="AC5" s="10" t="s">
        <v>28</v>
      </c>
      <c r="AD5" s="10" t="s">
        <v>29</v>
      </c>
      <c r="AE5" s="10" t="s">
        <v>30</v>
      </c>
      <c r="AF5" s="10" t="s">
        <v>31</v>
      </c>
      <c r="AG5" s="11" t="s">
        <v>32</v>
      </c>
      <c r="AQ5" s="12" t="s">
        <v>33</v>
      </c>
    </row>
    <row r="6" customFormat="false" ht="13.5" hidden="false" customHeight="true" outlineLevel="0" collapsed="false">
      <c r="B6" s="13" t="n">
        <v>1</v>
      </c>
      <c r="C6" s="14" t="s">
        <v>34</v>
      </c>
      <c r="D6" s="15" t="n">
        <v>6</v>
      </c>
      <c r="E6" s="16"/>
      <c r="F6" s="17"/>
      <c r="G6" s="17" t="n">
        <v>2</v>
      </c>
      <c r="H6" s="17" t="n">
        <v>1</v>
      </c>
      <c r="I6" s="17" t="n">
        <v>1</v>
      </c>
      <c r="J6" s="17"/>
      <c r="K6" s="17" t="n">
        <v>2</v>
      </c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8"/>
    </row>
    <row r="7" customFormat="false" ht="13.5" hidden="false" customHeight="true" outlineLevel="0" collapsed="false">
      <c r="B7" s="19" t="n">
        <v>2</v>
      </c>
      <c r="C7" s="20" t="s">
        <v>35</v>
      </c>
      <c r="D7" s="15" t="n">
        <v>6</v>
      </c>
      <c r="E7" s="21"/>
      <c r="F7" s="22"/>
      <c r="G7" s="22"/>
      <c r="H7" s="22" t="n">
        <v>2</v>
      </c>
      <c r="I7" s="22" t="n">
        <v>3</v>
      </c>
      <c r="J7" s="22" t="n">
        <v>1</v>
      </c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3"/>
      <c r="AQ7" s="12" t="s">
        <v>36</v>
      </c>
    </row>
    <row r="8" customFormat="false" ht="13.5" hidden="false" customHeight="true" outlineLevel="0" collapsed="false">
      <c r="B8" s="19" t="n">
        <v>3</v>
      </c>
      <c r="C8" s="20" t="s">
        <v>37</v>
      </c>
      <c r="D8" s="15" t="n">
        <v>6</v>
      </c>
      <c r="E8" s="21"/>
      <c r="F8" s="22"/>
      <c r="G8" s="22" t="n">
        <v>3</v>
      </c>
      <c r="H8" s="22" t="n">
        <v>2</v>
      </c>
      <c r="I8" s="22" t="n">
        <v>1</v>
      </c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3"/>
    </row>
    <row r="9" customFormat="false" ht="13.5" hidden="false" customHeight="true" outlineLevel="0" collapsed="false">
      <c r="B9" s="19" t="n">
        <v>4</v>
      </c>
      <c r="C9" s="20" t="s">
        <v>38</v>
      </c>
      <c r="D9" s="15" t="n">
        <v>6</v>
      </c>
      <c r="E9" s="21"/>
      <c r="F9" s="22"/>
      <c r="G9" s="22"/>
      <c r="H9" s="22" t="n">
        <v>2</v>
      </c>
      <c r="I9" s="22" t="n">
        <v>3</v>
      </c>
      <c r="J9" s="22" t="n">
        <v>1</v>
      </c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3"/>
    </row>
    <row r="10" customFormat="false" ht="13.5" hidden="false" customHeight="true" outlineLevel="0" collapsed="false">
      <c r="B10" s="19" t="n">
        <v>5</v>
      </c>
      <c r="C10" s="20" t="s">
        <v>39</v>
      </c>
      <c r="D10" s="15" t="n">
        <v>6</v>
      </c>
      <c r="E10" s="21"/>
      <c r="F10" s="22"/>
      <c r="G10" s="22"/>
      <c r="H10" s="22"/>
      <c r="I10" s="22" t="n">
        <v>2</v>
      </c>
      <c r="J10" s="22" t="n">
        <v>2</v>
      </c>
      <c r="K10" s="22" t="n">
        <v>2</v>
      </c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3"/>
    </row>
    <row r="11" customFormat="false" ht="13.5" hidden="false" customHeight="true" outlineLevel="0" collapsed="false">
      <c r="B11" s="24" t="n">
        <v>6</v>
      </c>
      <c r="C11" s="25" t="s">
        <v>40</v>
      </c>
      <c r="D11" s="26" t="n">
        <v>8</v>
      </c>
      <c r="E11" s="27"/>
      <c r="F11" s="22"/>
      <c r="G11" s="22"/>
      <c r="H11" s="22"/>
      <c r="I11" s="22"/>
      <c r="J11" s="22"/>
      <c r="K11" s="22"/>
      <c r="L11" s="22"/>
      <c r="M11" s="22"/>
      <c r="N11" s="22"/>
      <c r="O11" s="22" t="n">
        <v>3</v>
      </c>
      <c r="P11" s="22" t="n">
        <v>3</v>
      </c>
      <c r="Q11" s="22" t="n">
        <v>2</v>
      </c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3"/>
    </row>
    <row r="12" customFormat="false" ht="13.5" hidden="false" customHeight="true" outlineLevel="0" collapsed="false">
      <c r="B12" s="24" t="n">
        <v>7</v>
      </c>
      <c r="C12" s="25" t="s">
        <v>41</v>
      </c>
      <c r="D12" s="26" t="n">
        <v>8</v>
      </c>
      <c r="E12" s="27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 t="n">
        <v>1</v>
      </c>
      <c r="W12" s="22"/>
      <c r="X12" s="22" t="n">
        <v>3</v>
      </c>
      <c r="Y12" s="22" t="n">
        <v>4</v>
      </c>
      <c r="Z12" s="22"/>
      <c r="AA12" s="22"/>
      <c r="AB12" s="22"/>
      <c r="AC12" s="22"/>
      <c r="AD12" s="22"/>
      <c r="AE12" s="22"/>
      <c r="AF12" s="22"/>
      <c r="AG12" s="23"/>
    </row>
    <row r="13" customFormat="false" ht="13.5" hidden="false" customHeight="true" outlineLevel="0" collapsed="false">
      <c r="B13" s="24" t="n">
        <v>8</v>
      </c>
      <c r="C13" s="25" t="s">
        <v>42</v>
      </c>
      <c r="D13" s="26" t="n">
        <v>8</v>
      </c>
      <c r="E13" s="27"/>
      <c r="F13" s="22"/>
      <c r="G13" s="22"/>
      <c r="H13" s="22"/>
      <c r="I13" s="22"/>
      <c r="J13" s="22"/>
      <c r="K13" s="22"/>
      <c r="L13" s="22"/>
      <c r="M13" s="22"/>
      <c r="N13" s="22" t="n">
        <v>1</v>
      </c>
      <c r="O13" s="22" t="n">
        <v>2</v>
      </c>
      <c r="P13" s="22" t="n">
        <v>3</v>
      </c>
      <c r="Q13" s="22" t="n">
        <v>2</v>
      </c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3"/>
    </row>
    <row r="14" customFormat="false" ht="13.5" hidden="false" customHeight="true" outlineLevel="0" collapsed="false">
      <c r="B14" s="24" t="n">
        <v>9</v>
      </c>
      <c r="C14" s="25" t="s">
        <v>43</v>
      </c>
      <c r="D14" s="26" t="n">
        <v>8</v>
      </c>
      <c r="E14" s="27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 t="n">
        <v>3</v>
      </c>
      <c r="X14" s="22" t="n">
        <v>3</v>
      </c>
      <c r="Y14" s="22" t="n">
        <v>2</v>
      </c>
      <c r="Z14" s="22"/>
      <c r="AA14" s="22"/>
      <c r="AB14" s="22"/>
      <c r="AC14" s="22"/>
      <c r="AD14" s="22"/>
      <c r="AE14" s="22"/>
      <c r="AF14" s="22"/>
      <c r="AG14" s="23"/>
    </row>
    <row r="15" customFormat="false" ht="13.5" hidden="false" customHeight="true" outlineLevel="0" collapsed="false">
      <c r="B15" s="24" t="n">
        <v>10</v>
      </c>
      <c r="C15" s="25" t="s">
        <v>44</v>
      </c>
      <c r="D15" s="26" t="n">
        <v>2</v>
      </c>
      <c r="E15" s="27"/>
      <c r="F15" s="22"/>
      <c r="G15" s="22"/>
      <c r="H15" s="22"/>
      <c r="I15" s="22"/>
      <c r="J15" s="22"/>
      <c r="K15" s="22"/>
      <c r="L15" s="22"/>
      <c r="M15" s="22"/>
      <c r="N15" s="22" t="n">
        <v>2</v>
      </c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3"/>
    </row>
    <row r="16" customFormat="false" ht="13.5" hidden="false" customHeight="true" outlineLevel="0" collapsed="false">
      <c r="B16" s="24" t="n">
        <v>11</v>
      </c>
      <c r="C16" s="25" t="s">
        <v>45</v>
      </c>
      <c r="D16" s="26" t="n">
        <v>2</v>
      </c>
      <c r="E16" s="27"/>
      <c r="F16" s="22"/>
      <c r="G16" s="22"/>
      <c r="H16" s="22"/>
      <c r="I16" s="22"/>
      <c r="J16" s="22"/>
      <c r="K16" s="22"/>
      <c r="L16" s="22"/>
      <c r="M16" s="22" t="n">
        <v>2</v>
      </c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3"/>
    </row>
    <row r="17" customFormat="false" ht="13.5" hidden="false" customHeight="true" outlineLevel="0" collapsed="false">
      <c r="B17" s="24" t="n">
        <v>12</v>
      </c>
      <c r="C17" s="25" t="s">
        <v>46</v>
      </c>
      <c r="D17" s="26" t="n">
        <v>2</v>
      </c>
      <c r="E17" s="27"/>
      <c r="F17" s="22"/>
      <c r="G17" s="22"/>
      <c r="H17" s="22"/>
      <c r="I17" s="22"/>
      <c r="J17" s="22"/>
      <c r="K17" s="22"/>
      <c r="L17" s="22"/>
      <c r="M17" s="22"/>
      <c r="N17" s="22" t="n">
        <v>2</v>
      </c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3"/>
    </row>
    <row r="18" customFormat="false" ht="13.5" hidden="false" customHeight="true" outlineLevel="0" collapsed="false">
      <c r="B18" s="24" t="n">
        <v>13</v>
      </c>
      <c r="C18" s="25" t="s">
        <v>47</v>
      </c>
      <c r="D18" s="26" t="n">
        <v>2</v>
      </c>
      <c r="E18" s="27"/>
      <c r="F18" s="22"/>
      <c r="G18" s="22"/>
      <c r="H18" s="22"/>
      <c r="I18" s="22"/>
      <c r="J18" s="22"/>
      <c r="K18" s="22"/>
      <c r="L18" s="22" t="n">
        <v>2</v>
      </c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3"/>
    </row>
    <row r="19" customFormat="false" ht="13.5" hidden="false" customHeight="true" outlineLevel="0" collapsed="false">
      <c r="B19" s="24" t="n">
        <v>14</v>
      </c>
      <c r="C19" s="25" t="s">
        <v>48</v>
      </c>
      <c r="D19" s="26" t="n">
        <v>2</v>
      </c>
      <c r="E19" s="27"/>
      <c r="F19" s="22"/>
      <c r="G19" s="22"/>
      <c r="H19" s="22"/>
      <c r="I19" s="22"/>
      <c r="J19" s="22"/>
      <c r="K19" s="22"/>
      <c r="L19" s="22"/>
      <c r="M19" s="22" t="n">
        <v>2</v>
      </c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3"/>
    </row>
    <row r="20" customFormat="false" ht="13.5" hidden="false" customHeight="true" outlineLevel="0" collapsed="false">
      <c r="B20" s="24" t="n">
        <v>15</v>
      </c>
      <c r="C20" s="25" t="s">
        <v>49</v>
      </c>
      <c r="D20" s="26" t="n">
        <v>2</v>
      </c>
      <c r="E20" s="27"/>
      <c r="F20" s="22"/>
      <c r="G20" s="22"/>
      <c r="H20" s="22"/>
      <c r="I20" s="22"/>
      <c r="J20" s="22"/>
      <c r="K20" s="22"/>
      <c r="L20" s="22"/>
      <c r="M20" s="22"/>
      <c r="N20" s="22" t="n">
        <v>2</v>
      </c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3"/>
    </row>
    <row r="21" customFormat="false" ht="13.5" hidden="false" customHeight="true" outlineLevel="0" collapsed="false">
      <c r="B21" s="24" t="n">
        <v>16</v>
      </c>
      <c r="C21" s="25" t="s">
        <v>50</v>
      </c>
      <c r="D21" s="26" t="n">
        <v>2</v>
      </c>
      <c r="E21" s="27"/>
      <c r="F21" s="22"/>
      <c r="G21" s="22"/>
      <c r="H21" s="22"/>
      <c r="I21" s="22"/>
      <c r="J21" s="22"/>
      <c r="K21" s="22"/>
      <c r="L21" s="22" t="n">
        <v>2</v>
      </c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3"/>
    </row>
    <row r="22" customFormat="false" ht="13.5" hidden="false" customHeight="true" outlineLevel="0" collapsed="false">
      <c r="B22" s="24" t="n">
        <v>17</v>
      </c>
      <c r="C22" s="25" t="s">
        <v>51</v>
      </c>
      <c r="D22" s="26" t="n">
        <v>2</v>
      </c>
      <c r="E22" s="27"/>
      <c r="F22" s="22"/>
      <c r="G22" s="22"/>
      <c r="H22" s="22"/>
      <c r="I22" s="22"/>
      <c r="J22" s="22"/>
      <c r="K22" s="22"/>
      <c r="L22" s="22"/>
      <c r="M22" s="22" t="n">
        <v>2</v>
      </c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3"/>
    </row>
    <row r="23" customFormat="false" ht="13.5" hidden="false" customHeight="true" outlineLevel="0" collapsed="false">
      <c r="B23" s="24" t="n">
        <v>18</v>
      </c>
      <c r="C23" s="28" t="s">
        <v>52</v>
      </c>
      <c r="D23" s="26" t="n">
        <v>2</v>
      </c>
      <c r="E23" s="27"/>
      <c r="F23" s="22"/>
      <c r="G23" s="22"/>
      <c r="H23" s="22"/>
      <c r="I23" s="22"/>
      <c r="J23" s="22"/>
      <c r="K23" s="22"/>
      <c r="L23" s="22"/>
      <c r="M23" s="22" t="n">
        <v>2</v>
      </c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3"/>
    </row>
    <row r="24" customFormat="false" ht="13.5" hidden="false" customHeight="true" outlineLevel="0" collapsed="false">
      <c r="B24" s="24" t="n">
        <v>19</v>
      </c>
      <c r="C24" s="25" t="s">
        <v>53</v>
      </c>
      <c r="D24" s="26" t="n">
        <v>2</v>
      </c>
      <c r="E24" s="27"/>
      <c r="F24" s="22"/>
      <c r="G24" s="22"/>
      <c r="H24" s="22"/>
      <c r="I24" s="22"/>
      <c r="J24" s="22"/>
      <c r="K24" s="22"/>
      <c r="L24" s="22" t="n">
        <v>2</v>
      </c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3"/>
    </row>
    <row r="25" customFormat="false" ht="13.5" hidden="false" customHeight="true" outlineLevel="0" collapsed="false">
      <c r="B25" s="24" t="n">
        <v>20</v>
      </c>
      <c r="C25" s="29" t="s">
        <v>54</v>
      </c>
      <c r="D25" s="26" t="n">
        <v>6</v>
      </c>
      <c r="E25" s="27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 t="n">
        <v>2</v>
      </c>
      <c r="U25" s="22" t="n">
        <v>1</v>
      </c>
      <c r="V25" s="22" t="n">
        <v>2</v>
      </c>
      <c r="W25" s="22" t="n">
        <v>1</v>
      </c>
      <c r="X25" s="22"/>
      <c r="Y25" s="22"/>
      <c r="Z25" s="22"/>
      <c r="AA25" s="22"/>
      <c r="AB25" s="22"/>
      <c r="AC25" s="22"/>
      <c r="AD25" s="22"/>
      <c r="AE25" s="22"/>
      <c r="AF25" s="22"/>
      <c r="AG25" s="23"/>
    </row>
    <row r="26" customFormat="false" ht="13.5" hidden="false" customHeight="true" outlineLevel="0" collapsed="false">
      <c r="B26" s="24" t="n">
        <v>21</v>
      </c>
      <c r="C26" s="29" t="s">
        <v>55</v>
      </c>
      <c r="D26" s="26" t="n">
        <v>6</v>
      </c>
      <c r="E26" s="27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 t="n">
        <v>3</v>
      </c>
      <c r="Y26" s="22" t="n">
        <v>1</v>
      </c>
      <c r="Z26" s="22" t="n">
        <v>2</v>
      </c>
      <c r="AA26" s="22"/>
      <c r="AB26" s="22"/>
      <c r="AC26" s="22"/>
      <c r="AD26" s="22"/>
      <c r="AE26" s="22"/>
      <c r="AF26" s="22"/>
      <c r="AG26" s="23"/>
    </row>
    <row r="27" customFormat="false" ht="13.5" hidden="false" customHeight="true" outlineLevel="0" collapsed="false">
      <c r="B27" s="24" t="n">
        <v>22</v>
      </c>
      <c r="C27" s="29" t="s">
        <v>56</v>
      </c>
      <c r="D27" s="26" t="n">
        <v>6</v>
      </c>
      <c r="E27" s="27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 t="n">
        <v>1</v>
      </c>
      <c r="V27" s="22" t="n">
        <v>2</v>
      </c>
      <c r="W27" s="22" t="n">
        <v>1</v>
      </c>
      <c r="X27" s="22"/>
      <c r="Y27" s="22"/>
      <c r="Z27" s="22" t="n">
        <v>2</v>
      </c>
      <c r="AA27" s="22"/>
      <c r="AB27" s="22"/>
      <c r="AC27" s="22"/>
      <c r="AD27" s="22"/>
      <c r="AE27" s="22"/>
      <c r="AF27" s="22"/>
      <c r="AG27" s="23"/>
    </row>
    <row r="28" customFormat="false" ht="13.5" hidden="false" customHeight="true" outlineLevel="0" collapsed="false">
      <c r="B28" s="24" t="n">
        <v>23</v>
      </c>
      <c r="C28" s="29" t="s">
        <v>57</v>
      </c>
      <c r="D28" s="26" t="n">
        <v>6</v>
      </c>
      <c r="E28" s="27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 t="n">
        <v>3</v>
      </c>
      <c r="Y28" s="22" t="n">
        <v>3</v>
      </c>
      <c r="Z28" s="22"/>
      <c r="AA28" s="22"/>
      <c r="AB28" s="22"/>
      <c r="AC28" s="22"/>
      <c r="AD28" s="22"/>
      <c r="AE28" s="22"/>
      <c r="AF28" s="22"/>
      <c r="AG28" s="23"/>
    </row>
    <row r="29" customFormat="false" ht="13.5" hidden="false" customHeight="true" outlineLevel="0" collapsed="false">
      <c r="B29" s="24" t="n">
        <v>24</v>
      </c>
      <c r="C29" s="29" t="s">
        <v>58</v>
      </c>
      <c r="D29" s="26" t="n">
        <v>6</v>
      </c>
      <c r="E29" s="27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 t="n">
        <v>1</v>
      </c>
      <c r="X29" s="22" t="n">
        <v>2</v>
      </c>
      <c r="Y29" s="22" t="n">
        <v>1</v>
      </c>
      <c r="Z29" s="22" t="n">
        <v>2</v>
      </c>
      <c r="AA29" s="22"/>
      <c r="AB29" s="22"/>
      <c r="AC29" s="22"/>
      <c r="AD29" s="22"/>
      <c r="AE29" s="22"/>
      <c r="AF29" s="22"/>
      <c r="AG29" s="23"/>
    </row>
    <row r="30" customFormat="false" ht="13.5" hidden="false" customHeight="true" outlineLevel="0" collapsed="false">
      <c r="B30" s="24" t="n">
        <v>25</v>
      </c>
      <c r="C30" s="29" t="s">
        <v>59</v>
      </c>
      <c r="D30" s="26" t="n">
        <v>2</v>
      </c>
      <c r="E30" s="27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 t="n">
        <v>2</v>
      </c>
      <c r="Z30" s="22"/>
      <c r="AA30" s="22"/>
      <c r="AB30" s="22"/>
      <c r="AC30" s="22"/>
      <c r="AD30" s="22"/>
      <c r="AE30" s="22"/>
      <c r="AF30" s="22"/>
      <c r="AG30" s="23"/>
    </row>
    <row r="31" customFormat="false" ht="13.5" hidden="false" customHeight="true" outlineLevel="0" collapsed="false">
      <c r="B31" s="24" t="n">
        <v>26</v>
      </c>
      <c r="C31" s="29" t="s">
        <v>60</v>
      </c>
      <c r="D31" s="26" t="n">
        <v>6</v>
      </c>
      <c r="E31" s="27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 t="n">
        <v>2</v>
      </c>
      <c r="Z31" s="22" t="n">
        <v>2</v>
      </c>
      <c r="AA31" s="22" t="n">
        <v>2</v>
      </c>
      <c r="AB31" s="22"/>
      <c r="AC31" s="22"/>
      <c r="AD31" s="22"/>
      <c r="AE31" s="22"/>
      <c r="AF31" s="22"/>
      <c r="AG31" s="23"/>
    </row>
    <row r="32" customFormat="false" ht="13.5" hidden="false" customHeight="true" outlineLevel="0" collapsed="false">
      <c r="B32" s="24" t="n">
        <v>27</v>
      </c>
      <c r="C32" s="29" t="s">
        <v>61</v>
      </c>
      <c r="D32" s="26" t="n">
        <v>6</v>
      </c>
      <c r="E32" s="27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 t="n">
        <v>2</v>
      </c>
      <c r="AB32" s="22" t="n">
        <v>2</v>
      </c>
      <c r="AC32" s="22" t="n">
        <v>2</v>
      </c>
      <c r="AD32" s="22"/>
      <c r="AE32" s="22"/>
      <c r="AF32" s="22"/>
      <c r="AG32" s="23"/>
    </row>
    <row r="33" customFormat="false" ht="13.5" hidden="false" customHeight="true" outlineLevel="0" collapsed="false">
      <c r="B33" s="24" t="n">
        <v>28</v>
      </c>
      <c r="C33" s="29" t="s">
        <v>62</v>
      </c>
      <c r="D33" s="26" t="n">
        <v>6</v>
      </c>
      <c r="E33" s="27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 t="n">
        <v>3</v>
      </c>
      <c r="AA33" s="22" t="n">
        <v>1</v>
      </c>
      <c r="AB33" s="22" t="n">
        <v>2</v>
      </c>
      <c r="AC33" s="22"/>
      <c r="AD33" s="22"/>
      <c r="AE33" s="22"/>
      <c r="AF33" s="22"/>
      <c r="AG33" s="23"/>
    </row>
    <row r="34" customFormat="false" ht="13.5" hidden="false" customHeight="true" outlineLevel="0" collapsed="false">
      <c r="B34" s="24" t="n">
        <v>29</v>
      </c>
      <c r="C34" s="29" t="s">
        <v>63</v>
      </c>
      <c r="D34" s="26" t="n">
        <v>6</v>
      </c>
      <c r="E34" s="27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 t="n">
        <v>3</v>
      </c>
      <c r="AA34" s="22" t="n">
        <v>2</v>
      </c>
      <c r="AB34" s="22"/>
      <c r="AC34" s="22" t="n">
        <v>1</v>
      </c>
      <c r="AD34" s="22"/>
      <c r="AE34" s="22"/>
      <c r="AF34" s="22"/>
      <c r="AG34" s="23"/>
    </row>
    <row r="35" customFormat="false" ht="13.5" hidden="false" customHeight="true" outlineLevel="0" collapsed="false">
      <c r="B35" s="24" t="n">
        <v>30</v>
      </c>
      <c r="C35" s="29" t="s">
        <v>64</v>
      </c>
      <c r="D35" s="26" t="n">
        <v>6</v>
      </c>
      <c r="E35" s="27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 t="n">
        <v>2</v>
      </c>
      <c r="AB35" s="22" t="n">
        <v>2</v>
      </c>
      <c r="AC35" s="22" t="n">
        <v>2</v>
      </c>
      <c r="AD35" s="22"/>
      <c r="AE35" s="22"/>
      <c r="AF35" s="22"/>
      <c r="AG35" s="23"/>
    </row>
    <row r="36" customFormat="false" ht="13.5" hidden="false" customHeight="true" outlineLevel="0" collapsed="false">
      <c r="B36" s="24" t="n">
        <v>31</v>
      </c>
      <c r="C36" s="29" t="s">
        <v>65</v>
      </c>
      <c r="D36" s="26" t="n">
        <v>8</v>
      </c>
      <c r="E36" s="27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 t="n">
        <v>1</v>
      </c>
      <c r="AA36" s="22" t="n">
        <v>3</v>
      </c>
      <c r="AB36" s="22" t="n">
        <v>2</v>
      </c>
      <c r="AC36" s="22" t="n">
        <v>2</v>
      </c>
      <c r="AD36" s="22"/>
      <c r="AE36" s="22"/>
      <c r="AF36" s="22"/>
      <c r="AG36" s="23"/>
    </row>
    <row r="37" customFormat="false" ht="13.5" hidden="false" customHeight="true" outlineLevel="0" collapsed="false">
      <c r="B37" s="24" t="n">
        <v>32</v>
      </c>
      <c r="C37" s="29" t="s">
        <v>66</v>
      </c>
      <c r="D37" s="26" t="n">
        <v>1</v>
      </c>
      <c r="E37" s="27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 t="n">
        <v>1</v>
      </c>
      <c r="AE37" s="22"/>
      <c r="AF37" s="22"/>
      <c r="AG37" s="23"/>
    </row>
    <row r="38" customFormat="false" ht="13.5" hidden="false" customHeight="true" outlineLevel="0" collapsed="false">
      <c r="B38" s="24" t="n">
        <v>33</v>
      </c>
      <c r="C38" s="29" t="s">
        <v>67</v>
      </c>
      <c r="D38" s="26" t="n">
        <v>3</v>
      </c>
      <c r="E38" s="27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 t="n">
        <v>1</v>
      </c>
      <c r="AC38" s="22" t="n">
        <v>2</v>
      </c>
      <c r="AD38" s="22"/>
      <c r="AE38" s="22"/>
      <c r="AF38" s="22"/>
      <c r="AG38" s="23"/>
    </row>
    <row r="39" customFormat="false" ht="13.5" hidden="false" customHeight="true" outlineLevel="0" collapsed="false">
      <c r="B39" s="24"/>
      <c r="C39" s="29"/>
      <c r="D39" s="26"/>
      <c r="E39" s="27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3"/>
    </row>
    <row r="40" customFormat="false" ht="13.5" hidden="false" customHeight="true" outlineLevel="0" collapsed="false">
      <c r="B40" s="24"/>
      <c r="C40" s="29"/>
      <c r="D40" s="26"/>
      <c r="E40" s="30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2"/>
    </row>
    <row r="41" customFormat="false" ht="15" hidden="false" customHeight="true" outlineLevel="0" collapsed="false">
      <c r="B41" s="33" t="s">
        <v>68</v>
      </c>
      <c r="C41" s="33"/>
      <c r="D41" s="34" t="n">
        <v>0</v>
      </c>
      <c r="E41" s="35" t="n">
        <f aca="false">SUM(E6:E40)</f>
        <v>0</v>
      </c>
      <c r="F41" s="36" t="n">
        <f aca="false">SUM(F6:F40)</f>
        <v>0</v>
      </c>
      <c r="G41" s="36" t="n">
        <f aca="false">SUM(G6:G40)</f>
        <v>5</v>
      </c>
      <c r="H41" s="36" t="n">
        <f aca="false">SUM(H6:H40)</f>
        <v>7</v>
      </c>
      <c r="I41" s="36" t="n">
        <f aca="false">SUM(I6:I40)</f>
        <v>10</v>
      </c>
      <c r="J41" s="36" t="n">
        <f aca="false">SUM(J6:J40)</f>
        <v>4</v>
      </c>
      <c r="K41" s="36" t="n">
        <f aca="false">SUM(K6:K40)</f>
        <v>4</v>
      </c>
      <c r="L41" s="36" t="n">
        <f aca="false">SUM(L6:L40)</f>
        <v>6</v>
      </c>
      <c r="M41" s="36" t="n">
        <f aca="false">SUM(M6:M40)</f>
        <v>8</v>
      </c>
      <c r="N41" s="36" t="n">
        <f aca="false">SUM(N6:N40)</f>
        <v>7</v>
      </c>
      <c r="O41" s="36" t="n">
        <f aca="false">SUM(O6:O40)</f>
        <v>5</v>
      </c>
      <c r="P41" s="36" t="n">
        <f aca="false">SUM(P6:P40)</f>
        <v>6</v>
      </c>
      <c r="Q41" s="36" t="n">
        <f aca="false">SUM(Q6:Q40)</f>
        <v>4</v>
      </c>
      <c r="R41" s="36" t="n">
        <f aca="false">SUM(R6:R40)</f>
        <v>0</v>
      </c>
      <c r="S41" s="36" t="n">
        <f aca="false">SUM(S6:S40)</f>
        <v>0</v>
      </c>
      <c r="T41" s="36" t="n">
        <f aca="false">SUM(T6:T40)</f>
        <v>2</v>
      </c>
      <c r="U41" s="36" t="n">
        <f aca="false">SUM(U6:U40)</f>
        <v>2</v>
      </c>
      <c r="V41" s="36" t="n">
        <f aca="false">SUM(V6:V40)</f>
        <v>5</v>
      </c>
      <c r="W41" s="36" t="n">
        <f aca="false">SUM(W6:W40)</f>
        <v>6</v>
      </c>
      <c r="X41" s="36" t="n">
        <f aca="false">SUM(X6:X40)</f>
        <v>14</v>
      </c>
      <c r="Y41" s="36" t="n">
        <f aca="false">SUM(Y6:Y40)</f>
        <v>15</v>
      </c>
      <c r="Z41" s="36" t="n">
        <f aca="false">SUM(Z6:Z40)</f>
        <v>15</v>
      </c>
      <c r="AA41" s="36" t="n">
        <f aca="false">SUM(AA6:AA40)</f>
        <v>12</v>
      </c>
      <c r="AB41" s="36" t="n">
        <f aca="false">SUM(AB6:AB40)</f>
        <v>9</v>
      </c>
      <c r="AC41" s="36" t="n">
        <f aca="false">SUM(AC6:AC40)</f>
        <v>9</v>
      </c>
      <c r="AD41" s="36" t="n">
        <f aca="false">SUM(AD6:AD40)</f>
        <v>1</v>
      </c>
      <c r="AE41" s="36" t="n">
        <f aca="false">SUM(AE6:AE40)</f>
        <v>0</v>
      </c>
      <c r="AF41" s="36" t="n">
        <f aca="false">SUM(AF6:AF40)</f>
        <v>0</v>
      </c>
      <c r="AG41" s="37" t="n">
        <f aca="false">SUM(AG6:AG40)</f>
        <v>0</v>
      </c>
    </row>
    <row r="42" customFormat="false" ht="13.5" hidden="false" customHeight="true" outlineLevel="0" collapsed="false">
      <c r="B42" s="38" t="s">
        <v>69</v>
      </c>
      <c r="C42" s="38"/>
      <c r="D42" s="39" t="n">
        <f aca="false">SUM(D6:D41)</f>
        <v>156</v>
      </c>
      <c r="E42" s="40" t="n">
        <f aca="false">D42-SUM(E6:E40)</f>
        <v>156</v>
      </c>
      <c r="F42" s="41" t="n">
        <f aca="false">E42-SUM(F6:F40)</f>
        <v>156</v>
      </c>
      <c r="G42" s="41" t="n">
        <f aca="false">F42-SUM(G6:G40)</f>
        <v>151</v>
      </c>
      <c r="H42" s="41" t="n">
        <f aca="false">G42-SUM(H6:H40)</f>
        <v>144</v>
      </c>
      <c r="I42" s="41" t="n">
        <f aca="false">H42-SUM(I6:I40)</f>
        <v>134</v>
      </c>
      <c r="J42" s="41" t="n">
        <f aca="false">I42-SUM(J6:J40)</f>
        <v>130</v>
      </c>
      <c r="K42" s="41" t="n">
        <f aca="false">J42-SUM(K6:K40)</f>
        <v>126</v>
      </c>
      <c r="L42" s="41" t="n">
        <f aca="false">K42-SUM(L6:L40)</f>
        <v>120</v>
      </c>
      <c r="M42" s="41" t="n">
        <f aca="false">L42-SUM(M6:M40)</f>
        <v>112</v>
      </c>
      <c r="N42" s="41" t="n">
        <f aca="false">M42-SUM(N6:N40)</f>
        <v>105</v>
      </c>
      <c r="O42" s="41" t="n">
        <f aca="false">N42-SUM(O6:O40)</f>
        <v>100</v>
      </c>
      <c r="P42" s="41" t="n">
        <f aca="false">O42-SUM(P6:P40)</f>
        <v>94</v>
      </c>
      <c r="Q42" s="41" t="n">
        <f aca="false">P42-SUM(Q6:Q40)</f>
        <v>90</v>
      </c>
      <c r="R42" s="41" t="n">
        <f aca="false">Q42-SUM(R6:R40)</f>
        <v>90</v>
      </c>
      <c r="S42" s="41" t="n">
        <f aca="false">R42-SUM(S6:S40)</f>
        <v>90</v>
      </c>
      <c r="T42" s="41" t="n">
        <f aca="false">S42-SUM(T6:T40)</f>
        <v>88</v>
      </c>
      <c r="U42" s="41" t="n">
        <f aca="false">T42-SUM(U6:U40)</f>
        <v>86</v>
      </c>
      <c r="V42" s="41" t="n">
        <f aca="false">U42-SUM(V6:V40)</f>
        <v>81</v>
      </c>
      <c r="W42" s="41" t="n">
        <f aca="false">V42-SUM(W6:W40)</f>
        <v>75</v>
      </c>
      <c r="X42" s="41" t="n">
        <f aca="false">W42-SUM(X6:X40)</f>
        <v>61</v>
      </c>
      <c r="Y42" s="41" t="n">
        <f aca="false">X42-SUM(Y6:Y40)</f>
        <v>46</v>
      </c>
      <c r="Z42" s="41" t="n">
        <f aca="false">Y42-SUM(Z6:Z40)</f>
        <v>31</v>
      </c>
      <c r="AA42" s="41" t="n">
        <f aca="false">Z42-SUM(AA6:AA40)</f>
        <v>19</v>
      </c>
      <c r="AB42" s="41" t="n">
        <f aca="false">AA42-SUM(AB6:AB40)</f>
        <v>10</v>
      </c>
      <c r="AC42" s="41" t="n">
        <f aca="false">AB42-SUM(AC6:AC40)</f>
        <v>1</v>
      </c>
      <c r="AD42" s="41" t="n">
        <f aca="false">AC42-SUM(AD6:AD40)</f>
        <v>0</v>
      </c>
      <c r="AE42" s="41" t="n">
        <f aca="false">AD42-SUM(AE6:AE40)</f>
        <v>0</v>
      </c>
      <c r="AF42" s="41" t="n">
        <f aca="false">AE42-SUM(AF6:AF40)</f>
        <v>0</v>
      </c>
      <c r="AG42" s="42" t="n">
        <f aca="false">AF42-SUM(AG6:AG40)</f>
        <v>0</v>
      </c>
    </row>
    <row r="43" customFormat="false" ht="13.5" hidden="false" customHeight="true" outlineLevel="0" collapsed="false">
      <c r="B43" s="43" t="s">
        <v>70</v>
      </c>
      <c r="C43" s="43"/>
      <c r="D43" s="44" t="n">
        <f aca="false">D42</f>
        <v>156</v>
      </c>
      <c r="E43" s="45" t="n">
        <f aca="false">$D$43-($D$43/29*1)</f>
        <v>150.620689655172</v>
      </c>
      <c r="F43" s="46" t="n">
        <f aca="false">$D$43-($D$43/29*2)</f>
        <v>145.241379310345</v>
      </c>
      <c r="G43" s="46" t="n">
        <f aca="false">$D$43-($D$43/29*3)</f>
        <v>139.862068965517</v>
      </c>
      <c r="H43" s="46" t="n">
        <f aca="false">$D$43-($D$43/29*4)</f>
        <v>134.48275862069</v>
      </c>
      <c r="I43" s="46" t="n">
        <f aca="false">$D$43-($D$43/29*5)</f>
        <v>129.103448275862</v>
      </c>
      <c r="J43" s="46" t="n">
        <f aca="false">$D$43-($D$43/29*6)</f>
        <v>123.724137931034</v>
      </c>
      <c r="K43" s="46" t="n">
        <f aca="false">$D$43-($D$43/29*7)</f>
        <v>118.344827586207</v>
      </c>
      <c r="L43" s="46" t="n">
        <f aca="false">$D$43-($D$43/29*8)</f>
        <v>112.965517241379</v>
      </c>
      <c r="M43" s="46" t="n">
        <f aca="false">$D$43-($D$43/29*9)</f>
        <v>107.586206896552</v>
      </c>
      <c r="N43" s="46" t="n">
        <f aca="false">$D$43-($D$43/29*10)</f>
        <v>102.206896551724</v>
      </c>
      <c r="O43" s="46" t="n">
        <f aca="false">$D$43-($D$43/29*11)</f>
        <v>96.8275862068965</v>
      </c>
      <c r="P43" s="46" t="n">
        <f aca="false">$D$43-($D$43/29*12)</f>
        <v>91.448275862069</v>
      </c>
      <c r="Q43" s="46" t="n">
        <f aca="false">$D$43-($D$43/29*13)</f>
        <v>86.0689655172414</v>
      </c>
      <c r="R43" s="46" t="n">
        <f aca="false">$D$43-($D$43/29*14)</f>
        <v>80.6896551724138</v>
      </c>
      <c r="S43" s="46" t="n">
        <f aca="false">$D$43-($D$43/29*15)</f>
        <v>75.3103448275862</v>
      </c>
      <c r="T43" s="46" t="n">
        <f aca="false">$D$43-($D$43/29*16)</f>
        <v>69.9310344827586</v>
      </c>
      <c r="U43" s="46" t="n">
        <f aca="false">$D$43-($D$43/29*17)</f>
        <v>64.551724137931</v>
      </c>
      <c r="V43" s="46" t="n">
        <f aca="false">$D$43-($D$43/29*18)</f>
        <v>59.1724137931034</v>
      </c>
      <c r="W43" s="46" t="n">
        <f aca="false">$D$43-($D$43/29*19)</f>
        <v>53.7931034482759</v>
      </c>
      <c r="X43" s="46" t="n">
        <f aca="false">$D$43-($D$43/29*20)</f>
        <v>48.4137931034483</v>
      </c>
      <c r="Y43" s="46" t="n">
        <f aca="false">$D$43-($D$43/29*21)</f>
        <v>43.0344827586207</v>
      </c>
      <c r="Z43" s="46" t="n">
        <f aca="false">$D$43-($D$43/29*22)</f>
        <v>37.6551724137931</v>
      </c>
      <c r="AA43" s="46" t="n">
        <f aca="false">$D$43-($D$43/29*23)</f>
        <v>32.2758620689655</v>
      </c>
      <c r="AB43" s="46" t="n">
        <f aca="false">$D$43-($D$43/29*24)</f>
        <v>26.8965517241379</v>
      </c>
      <c r="AC43" s="46" t="n">
        <f aca="false">$D$43-($D$43/29*25)</f>
        <v>21.5172413793104</v>
      </c>
      <c r="AD43" s="46" t="n">
        <f aca="false">$D$43-($D$43/29*26)</f>
        <v>16.1379310344828</v>
      </c>
      <c r="AE43" s="46" t="n">
        <f aca="false">$D$43-($D$43/29*27)</f>
        <v>10.7586206896552</v>
      </c>
      <c r="AF43" s="46" t="n">
        <f aca="false">$D$43-($D$43/29*28)</f>
        <v>5.37931034482759</v>
      </c>
      <c r="AG43" s="47" t="n">
        <f aca="false">$D$43-($D$43/29*29)</f>
        <v>0</v>
      </c>
    </row>
    <row r="44" customFormat="false" ht="13.5" hidden="false" customHeight="true" outlineLevel="0" collapsed="false">
      <c r="Q44" s="48" t="s">
        <v>71</v>
      </c>
    </row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/>
    <row r="85" customFormat="false" ht="13.5" hidden="false" customHeight="true" outlineLevel="0" collapsed="false"/>
    <row r="86" customFormat="false" ht="13.5" hidden="false" customHeight="true" outlineLevel="0" collapsed="false"/>
    <row r="87" customFormat="false" ht="13.5" hidden="false" customHeight="true" outlineLevel="0" collapsed="false"/>
    <row r="88" customFormat="false" ht="13.5" hidden="false" customHeight="true" outlineLevel="0" collapsed="false"/>
    <row r="89" customFormat="false" ht="13.5" hidden="false" customHeight="true" outlineLevel="0" collapsed="false"/>
    <row r="90" customFormat="false" ht="13.5" hidden="false" customHeight="true" outlineLevel="0" collapsed="false"/>
    <row r="91" customFormat="false" ht="13.5" hidden="false" customHeight="true" outlineLevel="0" collapsed="false"/>
    <row r="92" customFormat="false" ht="13.5" hidden="false" customHeight="true" outlineLevel="0" collapsed="false"/>
    <row r="93" customFormat="false" ht="13.5" hidden="false" customHeight="true" outlineLevel="0" collapsed="false"/>
    <row r="94" customFormat="false" ht="13.5" hidden="false" customHeight="true" outlineLevel="0" collapsed="false"/>
    <row r="95" customFormat="false" ht="13.5" hidden="false" customHeight="true" outlineLevel="0" collapsed="false"/>
    <row r="96" customFormat="false" ht="13.5" hidden="false" customHeight="true" outlineLevel="0" collapsed="false"/>
    <row r="97" customFormat="false" ht="13.5" hidden="false" customHeight="true" outlineLevel="0" collapsed="false"/>
    <row r="98" customFormat="false" ht="13.5" hidden="false" customHeight="true" outlineLevel="0" collapsed="false"/>
    <row r="99" customFormat="false" ht="13.5" hidden="false" customHeight="true" outlineLevel="0" collapsed="false"/>
    <row r="100" customFormat="false" ht="13.5" hidden="false" customHeight="true" outlineLevel="0" collapsed="false"/>
    <row r="101" customFormat="false" ht="13.5" hidden="false" customHeight="true" outlineLevel="0" collapsed="false"/>
    <row r="102" customFormat="false" ht="13.5" hidden="false" customHeight="true" outlineLevel="0" collapsed="false"/>
    <row r="103" customFormat="false" ht="13.5" hidden="false" customHeight="true" outlineLevel="0" collapsed="false"/>
    <row r="104" customFormat="false" ht="13.5" hidden="false" customHeight="true" outlineLevel="0" collapsed="false"/>
    <row r="105" customFormat="false" ht="13.5" hidden="false" customHeight="true" outlineLevel="0" collapsed="false"/>
    <row r="106" customFormat="false" ht="13.5" hidden="false" customHeight="true" outlineLevel="0" collapsed="false"/>
    <row r="107" customFormat="false" ht="13.5" hidden="false" customHeight="true" outlineLevel="0" collapsed="false"/>
    <row r="108" customFormat="false" ht="13.5" hidden="false" customHeight="true" outlineLevel="0" collapsed="false"/>
    <row r="109" customFormat="false" ht="13.5" hidden="false" customHeight="true" outlineLevel="0" collapsed="false"/>
    <row r="110" customFormat="false" ht="13.5" hidden="false" customHeight="true" outlineLevel="0" collapsed="false"/>
    <row r="111" customFormat="false" ht="13.5" hidden="false" customHeight="true" outlineLevel="0" collapsed="false"/>
    <row r="112" customFormat="false" ht="13.5" hidden="false" customHeight="true" outlineLevel="0" collapsed="false"/>
    <row r="113" customFormat="false" ht="13.5" hidden="false" customHeight="true" outlineLevel="0" collapsed="false"/>
    <row r="114" customFormat="false" ht="13.5" hidden="false" customHeight="true" outlineLevel="0" collapsed="false"/>
    <row r="115" customFormat="false" ht="13.5" hidden="false" customHeight="true" outlineLevel="0" collapsed="false"/>
    <row r="116" customFormat="false" ht="13.5" hidden="false" customHeight="true" outlineLevel="0" collapsed="false"/>
    <row r="117" customFormat="false" ht="13.5" hidden="false" customHeight="true" outlineLevel="0" collapsed="false"/>
    <row r="118" customFormat="false" ht="13.5" hidden="false" customHeight="true" outlineLevel="0" collapsed="false"/>
    <row r="119" customFormat="false" ht="13.5" hidden="false" customHeight="true" outlineLevel="0" collapsed="false"/>
    <row r="120" customFormat="false" ht="13.5" hidden="false" customHeight="true" outlineLevel="0" collapsed="false"/>
    <row r="121" customFormat="false" ht="13.5" hidden="false" customHeight="true" outlineLevel="0" collapsed="false"/>
    <row r="122" customFormat="false" ht="13.5" hidden="false" customHeight="true" outlineLevel="0" collapsed="false"/>
    <row r="123" customFormat="false" ht="13.5" hidden="false" customHeight="true" outlineLevel="0" collapsed="false"/>
    <row r="124" customFormat="false" ht="13.5" hidden="false" customHeight="true" outlineLevel="0" collapsed="false"/>
    <row r="125" customFormat="false" ht="13.5" hidden="false" customHeight="true" outlineLevel="0" collapsed="false"/>
    <row r="126" customFormat="false" ht="13.5" hidden="false" customHeight="true" outlineLevel="0" collapsed="false"/>
    <row r="127" customFormat="false" ht="13.5" hidden="false" customHeight="true" outlineLevel="0" collapsed="false"/>
    <row r="128" customFormat="false" ht="13.5" hidden="false" customHeight="true" outlineLevel="0" collapsed="false"/>
    <row r="129" customFormat="false" ht="13.5" hidden="false" customHeight="true" outlineLevel="0" collapsed="false"/>
    <row r="130" customFormat="false" ht="13.5" hidden="false" customHeight="true" outlineLevel="0" collapsed="false"/>
    <row r="131" customFormat="false" ht="13.5" hidden="false" customHeight="true" outlineLevel="0" collapsed="false"/>
    <row r="132" customFormat="false" ht="13.5" hidden="false" customHeight="true" outlineLevel="0" collapsed="false"/>
    <row r="133" customFormat="false" ht="13.5" hidden="false" customHeight="true" outlineLevel="0" collapsed="false"/>
    <row r="134" customFormat="false" ht="13.5" hidden="false" customHeight="true" outlineLevel="0" collapsed="false"/>
    <row r="135" customFormat="false" ht="13.5" hidden="false" customHeight="true" outlineLevel="0" collapsed="false"/>
    <row r="136" customFormat="false" ht="13.5" hidden="false" customHeight="true" outlineLevel="0" collapsed="false"/>
    <row r="137" customFormat="false" ht="13.5" hidden="false" customHeight="true" outlineLevel="0" collapsed="false"/>
    <row r="138" customFormat="false" ht="13.5" hidden="false" customHeight="true" outlineLevel="0" collapsed="false"/>
    <row r="139" customFormat="false" ht="13.5" hidden="false" customHeight="true" outlineLevel="0" collapsed="false"/>
    <row r="140" customFormat="false" ht="13.5" hidden="false" customHeight="true" outlineLevel="0" collapsed="false"/>
    <row r="141" customFormat="false" ht="13.5" hidden="false" customHeight="true" outlineLevel="0" collapsed="false"/>
    <row r="142" customFormat="false" ht="13.5" hidden="false" customHeight="true" outlineLevel="0" collapsed="false"/>
    <row r="143" customFormat="false" ht="13.5" hidden="false" customHeight="true" outlineLevel="0" collapsed="false"/>
    <row r="144" customFormat="false" ht="13.5" hidden="false" customHeight="true" outlineLevel="0" collapsed="false"/>
    <row r="145" customFormat="false" ht="13.5" hidden="false" customHeight="true" outlineLevel="0" collapsed="false"/>
    <row r="146" customFormat="false" ht="13.5" hidden="false" customHeight="true" outlineLevel="0" collapsed="false"/>
    <row r="147" customFormat="false" ht="13.5" hidden="false" customHeight="true" outlineLevel="0" collapsed="false"/>
    <row r="148" customFormat="false" ht="13.5" hidden="false" customHeight="true" outlineLevel="0" collapsed="false"/>
    <row r="149" customFormat="false" ht="13.5" hidden="false" customHeight="true" outlineLevel="0" collapsed="false"/>
    <row r="150" customFormat="false" ht="13.5" hidden="false" customHeight="true" outlineLevel="0" collapsed="false"/>
    <row r="151" customFormat="false" ht="13.5" hidden="false" customHeight="true" outlineLevel="0" collapsed="false"/>
    <row r="152" customFormat="false" ht="13.5" hidden="false" customHeight="true" outlineLevel="0" collapsed="false"/>
    <row r="153" customFormat="false" ht="13.5" hidden="false" customHeight="true" outlineLevel="0" collapsed="false"/>
    <row r="154" customFormat="false" ht="13.5" hidden="false" customHeight="true" outlineLevel="0" collapsed="false"/>
    <row r="155" customFormat="false" ht="13.5" hidden="false" customHeight="true" outlineLevel="0" collapsed="false"/>
    <row r="156" customFormat="false" ht="13.5" hidden="false" customHeight="true" outlineLevel="0" collapsed="false"/>
    <row r="157" customFormat="false" ht="13.5" hidden="false" customHeight="true" outlineLevel="0" collapsed="false"/>
    <row r="158" customFormat="false" ht="13.5" hidden="false" customHeight="true" outlineLevel="0" collapsed="false"/>
    <row r="159" customFormat="false" ht="13.5" hidden="false" customHeight="true" outlineLevel="0" collapsed="false"/>
    <row r="160" customFormat="false" ht="13.5" hidden="false" customHeight="true" outlineLevel="0" collapsed="false"/>
    <row r="161" customFormat="false" ht="13.5" hidden="false" customHeight="true" outlineLevel="0" collapsed="false"/>
    <row r="162" customFormat="false" ht="13.5" hidden="false" customHeight="true" outlineLevel="0" collapsed="false"/>
    <row r="163" customFormat="false" ht="13.5" hidden="false" customHeight="true" outlineLevel="0" collapsed="false"/>
    <row r="164" customFormat="false" ht="13.5" hidden="false" customHeight="true" outlineLevel="0" collapsed="false"/>
    <row r="165" customFormat="false" ht="13.5" hidden="false" customHeight="true" outlineLevel="0" collapsed="false"/>
    <row r="166" customFormat="false" ht="13.5" hidden="false" customHeight="true" outlineLevel="0" collapsed="false"/>
    <row r="167" customFormat="false" ht="13.5" hidden="false" customHeight="true" outlineLevel="0" collapsed="false"/>
    <row r="168" customFormat="false" ht="13.5" hidden="false" customHeight="true" outlineLevel="0" collapsed="false"/>
    <row r="169" customFormat="false" ht="13.5" hidden="false" customHeight="true" outlineLevel="0" collapsed="false"/>
    <row r="170" customFormat="false" ht="13.5" hidden="false" customHeight="true" outlineLevel="0" collapsed="false"/>
    <row r="171" customFormat="false" ht="13.5" hidden="false" customHeight="true" outlineLevel="0" collapsed="false"/>
    <row r="172" customFormat="false" ht="13.5" hidden="false" customHeight="true" outlineLevel="0" collapsed="false"/>
    <row r="173" customFormat="false" ht="13.5" hidden="false" customHeight="true" outlineLevel="0" collapsed="false"/>
    <row r="174" customFormat="false" ht="13.5" hidden="false" customHeight="true" outlineLevel="0" collapsed="false"/>
    <row r="175" customFormat="false" ht="13.5" hidden="false" customHeight="true" outlineLevel="0" collapsed="false"/>
    <row r="176" customFormat="false" ht="13.5" hidden="false" customHeight="true" outlineLevel="0" collapsed="false"/>
    <row r="177" customFormat="false" ht="13.5" hidden="false" customHeight="true" outlineLevel="0" collapsed="false"/>
    <row r="178" customFormat="false" ht="13.5" hidden="false" customHeight="true" outlineLevel="0" collapsed="false"/>
    <row r="179" customFormat="false" ht="13.5" hidden="false" customHeight="true" outlineLevel="0" collapsed="false"/>
    <row r="180" customFormat="false" ht="13.5" hidden="false" customHeight="true" outlineLevel="0" collapsed="false"/>
    <row r="181" customFormat="false" ht="13.5" hidden="false" customHeight="true" outlineLevel="0" collapsed="false"/>
    <row r="182" customFormat="false" ht="13.5" hidden="false" customHeight="true" outlineLevel="0" collapsed="false"/>
    <row r="183" customFormat="false" ht="13.5" hidden="false" customHeight="true" outlineLevel="0" collapsed="false"/>
    <row r="184" customFormat="false" ht="13.5" hidden="false" customHeight="true" outlineLevel="0" collapsed="false"/>
    <row r="185" customFormat="false" ht="13.5" hidden="false" customHeight="true" outlineLevel="0" collapsed="false"/>
    <row r="186" customFormat="false" ht="13.5" hidden="false" customHeight="true" outlineLevel="0" collapsed="false"/>
    <row r="187" customFormat="false" ht="13.5" hidden="false" customHeight="true" outlineLevel="0" collapsed="false"/>
    <row r="188" customFormat="false" ht="13.5" hidden="false" customHeight="true" outlineLevel="0" collapsed="false"/>
    <row r="189" customFormat="false" ht="13.5" hidden="false" customHeight="true" outlineLevel="0" collapsed="false"/>
    <row r="190" customFormat="false" ht="13.5" hidden="false" customHeight="true" outlineLevel="0" collapsed="false"/>
    <row r="191" customFormat="false" ht="13.5" hidden="false" customHeight="true" outlineLevel="0" collapsed="false"/>
    <row r="192" customFormat="false" ht="13.5" hidden="false" customHeight="true" outlineLevel="0" collapsed="false"/>
    <row r="193" customFormat="false" ht="13.5" hidden="false" customHeight="true" outlineLevel="0" collapsed="false"/>
    <row r="194" customFormat="false" ht="13.5" hidden="false" customHeight="true" outlineLevel="0" collapsed="false"/>
    <row r="195" customFormat="false" ht="13.5" hidden="false" customHeight="true" outlineLevel="0" collapsed="false"/>
    <row r="196" customFormat="false" ht="13.5" hidden="false" customHeight="true" outlineLevel="0" collapsed="false"/>
    <row r="197" customFormat="false" ht="13.5" hidden="false" customHeight="true" outlineLevel="0" collapsed="false"/>
    <row r="198" customFormat="false" ht="13.5" hidden="false" customHeight="true" outlineLevel="0" collapsed="false"/>
    <row r="199" customFormat="false" ht="13.5" hidden="false" customHeight="true" outlineLevel="0" collapsed="false"/>
    <row r="200" customFormat="false" ht="13.5" hidden="false" customHeight="true" outlineLevel="0" collapsed="false"/>
    <row r="201" customFormat="false" ht="13.5" hidden="false" customHeight="true" outlineLevel="0" collapsed="false"/>
    <row r="202" customFormat="false" ht="13.5" hidden="false" customHeight="true" outlineLevel="0" collapsed="false"/>
    <row r="203" customFormat="false" ht="13.5" hidden="false" customHeight="true" outlineLevel="0" collapsed="false"/>
    <row r="204" customFormat="false" ht="13.5" hidden="false" customHeight="true" outlineLevel="0" collapsed="false"/>
    <row r="205" customFormat="false" ht="13.5" hidden="false" customHeight="true" outlineLevel="0" collapsed="false"/>
    <row r="206" customFormat="false" ht="13.5" hidden="false" customHeight="true" outlineLevel="0" collapsed="false"/>
    <row r="207" customFormat="false" ht="13.5" hidden="false" customHeight="true" outlineLevel="0" collapsed="false"/>
    <row r="208" customFormat="false" ht="13.5" hidden="false" customHeight="true" outlineLevel="0" collapsed="false"/>
    <row r="209" customFormat="false" ht="13.5" hidden="false" customHeight="true" outlineLevel="0" collapsed="false"/>
    <row r="210" customFormat="false" ht="13.5" hidden="false" customHeight="true" outlineLevel="0" collapsed="false"/>
    <row r="211" customFormat="false" ht="13.5" hidden="false" customHeight="true" outlineLevel="0" collapsed="false"/>
    <row r="212" customFormat="false" ht="13.5" hidden="false" customHeight="true" outlineLevel="0" collapsed="false"/>
    <row r="213" customFormat="false" ht="13.5" hidden="false" customHeight="true" outlineLevel="0" collapsed="false"/>
    <row r="214" customFormat="false" ht="13.5" hidden="false" customHeight="true" outlineLevel="0" collapsed="false"/>
    <row r="215" customFormat="false" ht="13.5" hidden="false" customHeight="true" outlineLevel="0" collapsed="false"/>
    <row r="216" customFormat="false" ht="13.5" hidden="false" customHeight="true" outlineLevel="0" collapsed="false"/>
    <row r="217" customFormat="false" ht="13.5" hidden="false" customHeight="true" outlineLevel="0" collapsed="false"/>
    <row r="218" customFormat="false" ht="13.5" hidden="false" customHeight="true" outlineLevel="0" collapsed="false"/>
    <row r="219" customFormat="false" ht="13.5" hidden="false" customHeight="true" outlineLevel="0" collapsed="false"/>
    <row r="220" customFormat="false" ht="13.5" hidden="false" customHeight="true" outlineLevel="0" collapsed="false"/>
    <row r="221" customFormat="false" ht="13.5" hidden="false" customHeight="true" outlineLevel="0" collapsed="false"/>
    <row r="222" customFormat="false" ht="13.5" hidden="false" customHeight="true" outlineLevel="0" collapsed="false"/>
    <row r="223" customFormat="false" ht="13.5" hidden="false" customHeight="true" outlineLevel="0" collapsed="false"/>
    <row r="224" customFormat="false" ht="13.5" hidden="false" customHeight="true" outlineLevel="0" collapsed="false"/>
    <row r="225" customFormat="false" ht="13.5" hidden="false" customHeight="true" outlineLevel="0" collapsed="false"/>
    <row r="226" customFormat="false" ht="13.5" hidden="false" customHeight="true" outlineLevel="0" collapsed="false"/>
    <row r="227" customFormat="false" ht="13.5" hidden="false" customHeight="true" outlineLevel="0" collapsed="false"/>
    <row r="228" customFormat="false" ht="13.5" hidden="false" customHeight="true" outlineLevel="0" collapsed="false"/>
    <row r="229" customFormat="false" ht="13.5" hidden="false" customHeight="true" outlineLevel="0" collapsed="false"/>
    <row r="230" customFormat="false" ht="13.5" hidden="false" customHeight="true" outlineLevel="0" collapsed="false"/>
    <row r="231" customFormat="false" ht="13.5" hidden="false" customHeight="true" outlineLevel="0" collapsed="false"/>
    <row r="232" customFormat="false" ht="13.5" hidden="false" customHeight="true" outlineLevel="0" collapsed="false"/>
    <row r="233" customFormat="false" ht="13.5" hidden="false" customHeight="true" outlineLevel="0" collapsed="false"/>
    <row r="234" customFormat="false" ht="13.5" hidden="false" customHeight="true" outlineLevel="0" collapsed="false"/>
    <row r="235" customFormat="false" ht="13.5" hidden="false" customHeight="true" outlineLevel="0" collapsed="false"/>
    <row r="236" customFormat="false" ht="13.5" hidden="false" customHeight="true" outlineLevel="0" collapsed="false"/>
    <row r="237" customFormat="false" ht="13.5" hidden="false" customHeight="true" outlineLevel="0" collapsed="false"/>
    <row r="238" customFormat="false" ht="13.5" hidden="false" customHeight="true" outlineLevel="0" collapsed="false"/>
    <row r="239" customFormat="false" ht="13.5" hidden="false" customHeight="true" outlineLevel="0" collapsed="false"/>
    <row r="240" customFormat="false" ht="13.5" hidden="false" customHeight="true" outlineLevel="0" collapsed="false"/>
    <row r="241" customFormat="false" ht="13.5" hidden="false" customHeight="true" outlineLevel="0" collapsed="false"/>
    <row r="242" customFormat="false" ht="13.5" hidden="false" customHeight="true" outlineLevel="0" collapsed="false"/>
    <row r="243" customFormat="false" ht="13.5" hidden="false" customHeight="true" outlineLevel="0" collapsed="false"/>
    <row r="244" customFormat="false" ht="13.5" hidden="false" customHeight="true" outlineLevel="0" collapsed="false"/>
    <row r="245" customFormat="false" ht="13.5" hidden="false" customHeight="true" outlineLevel="0" collapsed="false"/>
    <row r="246" customFormat="false" ht="13.5" hidden="false" customHeight="true" outlineLevel="0" collapsed="false"/>
    <row r="247" customFormat="false" ht="13.5" hidden="false" customHeight="true" outlineLevel="0" collapsed="false"/>
    <row r="248" customFormat="false" ht="13.5" hidden="false" customHeight="true" outlineLevel="0" collapsed="false"/>
    <row r="249" customFormat="false" ht="13.5" hidden="false" customHeight="true" outlineLevel="0" collapsed="false"/>
    <row r="250" customFormat="false" ht="13.5" hidden="false" customHeight="true" outlineLevel="0" collapsed="false"/>
    <row r="251" customFormat="false" ht="13.5" hidden="false" customHeight="true" outlineLevel="0" collapsed="false"/>
    <row r="252" customFormat="false" ht="13.5" hidden="false" customHeight="true" outlineLevel="0" collapsed="false"/>
    <row r="253" customFormat="false" ht="13.5" hidden="false" customHeight="true" outlineLevel="0" collapsed="false"/>
    <row r="254" customFormat="false" ht="13.5" hidden="false" customHeight="true" outlineLevel="0" collapsed="false"/>
    <row r="255" customFormat="false" ht="13.5" hidden="false" customHeight="true" outlineLevel="0" collapsed="false"/>
    <row r="256" customFormat="false" ht="13.5" hidden="false" customHeight="true" outlineLevel="0" collapsed="false"/>
    <row r="257" customFormat="false" ht="13.5" hidden="false" customHeight="true" outlineLevel="0" collapsed="false"/>
    <row r="258" customFormat="false" ht="13.5" hidden="false" customHeight="true" outlineLevel="0" collapsed="false"/>
    <row r="259" customFormat="false" ht="13.5" hidden="false" customHeight="true" outlineLevel="0" collapsed="false"/>
    <row r="260" customFormat="false" ht="13.5" hidden="false" customHeight="true" outlineLevel="0" collapsed="false"/>
    <row r="261" customFormat="false" ht="13.5" hidden="false" customHeight="true" outlineLevel="0" collapsed="false"/>
    <row r="262" customFormat="false" ht="13.5" hidden="false" customHeight="true" outlineLevel="0" collapsed="false"/>
    <row r="263" customFormat="false" ht="13.5" hidden="false" customHeight="true" outlineLevel="0" collapsed="false"/>
    <row r="264" customFormat="false" ht="13.5" hidden="false" customHeight="true" outlineLevel="0" collapsed="false"/>
    <row r="265" customFormat="false" ht="13.5" hidden="false" customHeight="true" outlineLevel="0" collapsed="false"/>
    <row r="266" customFormat="false" ht="13.5" hidden="false" customHeight="true" outlineLevel="0" collapsed="false"/>
    <row r="267" customFormat="false" ht="13.5" hidden="false" customHeight="true" outlineLevel="0" collapsed="false"/>
    <row r="268" customFormat="false" ht="13.5" hidden="false" customHeight="true" outlineLevel="0" collapsed="false"/>
    <row r="269" customFormat="false" ht="13.5" hidden="false" customHeight="true" outlineLevel="0" collapsed="false"/>
    <row r="270" customFormat="false" ht="13.5" hidden="false" customHeight="true" outlineLevel="0" collapsed="false"/>
    <row r="271" customFormat="false" ht="13.5" hidden="false" customHeight="true" outlineLevel="0" collapsed="false"/>
    <row r="272" customFormat="false" ht="13.5" hidden="false" customHeight="true" outlineLevel="0" collapsed="false"/>
    <row r="273" customFormat="false" ht="13.5" hidden="false" customHeight="true" outlineLevel="0" collapsed="false"/>
    <row r="274" customFormat="false" ht="13.5" hidden="false" customHeight="true" outlineLevel="0" collapsed="false"/>
    <row r="275" customFormat="false" ht="13.5" hidden="false" customHeight="true" outlineLevel="0" collapsed="false"/>
    <row r="276" customFormat="false" ht="13.5" hidden="false" customHeight="true" outlineLevel="0" collapsed="false"/>
    <row r="277" customFormat="false" ht="13.5" hidden="false" customHeight="true" outlineLevel="0" collapsed="false"/>
    <row r="278" customFormat="false" ht="13.5" hidden="false" customHeight="true" outlineLevel="0" collapsed="false"/>
    <row r="279" customFormat="false" ht="13.5" hidden="false" customHeight="true" outlineLevel="0" collapsed="false"/>
    <row r="280" customFormat="false" ht="13.5" hidden="false" customHeight="true" outlineLevel="0" collapsed="false"/>
    <row r="281" customFormat="false" ht="13.5" hidden="false" customHeight="true" outlineLevel="0" collapsed="false"/>
    <row r="282" customFormat="false" ht="13.5" hidden="false" customHeight="true" outlineLevel="0" collapsed="false"/>
    <row r="283" customFormat="false" ht="13.5" hidden="false" customHeight="true" outlineLevel="0" collapsed="false"/>
    <row r="284" customFormat="false" ht="13.5" hidden="false" customHeight="true" outlineLevel="0" collapsed="false"/>
    <row r="285" customFormat="false" ht="13.5" hidden="false" customHeight="true" outlineLevel="0" collapsed="false"/>
    <row r="286" customFormat="false" ht="13.5" hidden="false" customHeight="true" outlineLevel="0" collapsed="false"/>
    <row r="287" customFormat="false" ht="13.5" hidden="false" customHeight="true" outlineLevel="0" collapsed="false"/>
    <row r="288" customFormat="false" ht="13.5" hidden="false" customHeight="true" outlineLevel="0" collapsed="false"/>
    <row r="289" customFormat="false" ht="13.5" hidden="false" customHeight="true" outlineLevel="0" collapsed="false"/>
    <row r="290" customFormat="false" ht="13.5" hidden="false" customHeight="true" outlineLevel="0" collapsed="false"/>
    <row r="291" customFormat="false" ht="13.5" hidden="false" customHeight="true" outlineLevel="0" collapsed="false"/>
    <row r="292" customFormat="false" ht="13.5" hidden="false" customHeight="true" outlineLevel="0" collapsed="false"/>
    <row r="293" customFormat="false" ht="13.5" hidden="false" customHeight="true" outlineLevel="0" collapsed="false"/>
    <row r="294" customFormat="false" ht="13.5" hidden="false" customHeight="true" outlineLevel="0" collapsed="false"/>
    <row r="295" customFormat="false" ht="13.5" hidden="false" customHeight="true" outlineLevel="0" collapsed="false"/>
    <row r="296" customFormat="false" ht="13.5" hidden="false" customHeight="true" outlineLevel="0" collapsed="false"/>
    <row r="297" customFormat="false" ht="13.5" hidden="false" customHeight="true" outlineLevel="0" collapsed="false"/>
    <row r="298" customFormat="false" ht="13.5" hidden="false" customHeight="true" outlineLevel="0" collapsed="false"/>
    <row r="299" customFormat="false" ht="13.5" hidden="false" customHeight="true" outlineLevel="0" collapsed="false"/>
    <row r="300" customFormat="false" ht="13.5" hidden="false" customHeight="true" outlineLevel="0" collapsed="false"/>
    <row r="301" customFormat="false" ht="13.5" hidden="false" customHeight="true" outlineLevel="0" collapsed="false"/>
    <row r="302" customFormat="false" ht="13.5" hidden="false" customHeight="true" outlineLevel="0" collapsed="false"/>
    <row r="303" customFormat="false" ht="13.5" hidden="false" customHeight="true" outlineLevel="0" collapsed="false"/>
    <row r="304" customFormat="false" ht="13.5" hidden="false" customHeight="true" outlineLevel="0" collapsed="false"/>
    <row r="305" customFormat="false" ht="13.5" hidden="false" customHeight="true" outlineLevel="0" collapsed="false"/>
    <row r="306" customFormat="false" ht="13.5" hidden="false" customHeight="true" outlineLevel="0" collapsed="false"/>
    <row r="307" customFormat="false" ht="13.5" hidden="false" customHeight="true" outlineLevel="0" collapsed="false"/>
    <row r="308" customFormat="false" ht="13.5" hidden="false" customHeight="true" outlineLevel="0" collapsed="false"/>
    <row r="309" customFormat="false" ht="13.5" hidden="false" customHeight="true" outlineLevel="0" collapsed="false"/>
    <row r="310" customFormat="false" ht="13.5" hidden="false" customHeight="true" outlineLevel="0" collapsed="false"/>
    <row r="311" customFormat="false" ht="13.5" hidden="false" customHeight="true" outlineLevel="0" collapsed="false"/>
    <row r="312" customFormat="false" ht="13.5" hidden="false" customHeight="true" outlineLevel="0" collapsed="false"/>
    <row r="313" customFormat="false" ht="13.5" hidden="false" customHeight="true" outlineLevel="0" collapsed="false"/>
    <row r="314" customFormat="false" ht="13.5" hidden="false" customHeight="true" outlineLevel="0" collapsed="false"/>
    <row r="315" customFormat="false" ht="13.5" hidden="false" customHeight="true" outlineLevel="0" collapsed="false"/>
    <row r="316" customFormat="false" ht="13.5" hidden="false" customHeight="true" outlineLevel="0" collapsed="false"/>
    <row r="317" customFormat="false" ht="13.5" hidden="false" customHeight="true" outlineLevel="0" collapsed="false"/>
    <row r="318" customFormat="false" ht="13.5" hidden="false" customHeight="true" outlineLevel="0" collapsed="false"/>
    <row r="319" customFormat="false" ht="13.5" hidden="false" customHeight="true" outlineLevel="0" collapsed="false"/>
    <row r="320" customFormat="false" ht="13.5" hidden="false" customHeight="true" outlineLevel="0" collapsed="false"/>
    <row r="321" customFormat="false" ht="13.5" hidden="false" customHeight="true" outlineLevel="0" collapsed="false"/>
    <row r="322" customFormat="false" ht="13.5" hidden="false" customHeight="true" outlineLevel="0" collapsed="false"/>
    <row r="323" customFormat="false" ht="13.5" hidden="false" customHeight="true" outlineLevel="0" collapsed="false"/>
    <row r="324" customFormat="false" ht="13.5" hidden="false" customHeight="true" outlineLevel="0" collapsed="false"/>
    <row r="325" customFormat="false" ht="13.5" hidden="false" customHeight="true" outlineLevel="0" collapsed="false"/>
    <row r="326" customFormat="false" ht="13.5" hidden="false" customHeight="true" outlineLevel="0" collapsed="false"/>
    <row r="327" customFormat="false" ht="13.5" hidden="false" customHeight="true" outlineLevel="0" collapsed="false"/>
    <row r="328" customFormat="false" ht="13.5" hidden="false" customHeight="true" outlineLevel="0" collapsed="false"/>
    <row r="329" customFormat="false" ht="13.5" hidden="false" customHeight="true" outlineLevel="0" collapsed="false"/>
    <row r="330" customFormat="false" ht="13.5" hidden="false" customHeight="true" outlineLevel="0" collapsed="false"/>
    <row r="331" customFormat="false" ht="13.5" hidden="false" customHeight="true" outlineLevel="0" collapsed="false"/>
    <row r="332" customFormat="false" ht="13.5" hidden="false" customHeight="true" outlineLevel="0" collapsed="false"/>
    <row r="333" customFormat="false" ht="13.5" hidden="false" customHeight="true" outlineLevel="0" collapsed="false"/>
    <row r="334" customFormat="false" ht="13.5" hidden="false" customHeight="true" outlineLevel="0" collapsed="false"/>
    <row r="335" customFormat="false" ht="13.5" hidden="false" customHeight="true" outlineLevel="0" collapsed="false"/>
    <row r="336" customFormat="false" ht="13.5" hidden="false" customHeight="true" outlineLevel="0" collapsed="false"/>
    <row r="337" customFormat="false" ht="13.5" hidden="false" customHeight="true" outlineLevel="0" collapsed="false"/>
    <row r="338" customFormat="false" ht="13.5" hidden="false" customHeight="true" outlineLevel="0" collapsed="false"/>
    <row r="339" customFormat="false" ht="13.5" hidden="false" customHeight="true" outlineLevel="0" collapsed="false"/>
    <row r="340" customFormat="false" ht="13.5" hidden="false" customHeight="true" outlineLevel="0" collapsed="false"/>
    <row r="341" customFormat="false" ht="13.5" hidden="false" customHeight="true" outlineLevel="0" collapsed="false"/>
    <row r="342" customFormat="false" ht="13.5" hidden="false" customHeight="true" outlineLevel="0" collapsed="false"/>
    <row r="343" customFormat="false" ht="13.5" hidden="false" customHeight="true" outlineLevel="0" collapsed="false"/>
    <row r="344" customFormat="false" ht="13.5" hidden="false" customHeight="true" outlineLevel="0" collapsed="false"/>
    <row r="345" customFormat="false" ht="13.5" hidden="false" customHeight="true" outlineLevel="0" collapsed="false"/>
    <row r="346" customFormat="false" ht="13.5" hidden="false" customHeight="true" outlineLevel="0" collapsed="false"/>
    <row r="347" customFormat="false" ht="13.5" hidden="false" customHeight="true" outlineLevel="0" collapsed="false"/>
    <row r="348" customFormat="false" ht="13.5" hidden="false" customHeight="true" outlineLevel="0" collapsed="false"/>
    <row r="349" customFormat="false" ht="13.5" hidden="false" customHeight="true" outlineLevel="0" collapsed="false"/>
    <row r="350" customFormat="false" ht="13.5" hidden="false" customHeight="true" outlineLevel="0" collapsed="false"/>
    <row r="351" customFormat="false" ht="13.5" hidden="false" customHeight="true" outlineLevel="0" collapsed="false"/>
    <row r="352" customFormat="false" ht="13.5" hidden="false" customHeight="true" outlineLevel="0" collapsed="false"/>
    <row r="353" customFormat="false" ht="13.5" hidden="false" customHeight="true" outlineLevel="0" collapsed="false"/>
    <row r="354" customFormat="false" ht="13.5" hidden="false" customHeight="true" outlineLevel="0" collapsed="false"/>
    <row r="355" customFormat="false" ht="13.5" hidden="false" customHeight="true" outlineLevel="0" collapsed="false"/>
    <row r="356" customFormat="false" ht="13.5" hidden="false" customHeight="true" outlineLevel="0" collapsed="false"/>
    <row r="357" customFormat="false" ht="13.5" hidden="false" customHeight="true" outlineLevel="0" collapsed="false"/>
    <row r="358" customFormat="false" ht="13.5" hidden="false" customHeight="true" outlineLevel="0" collapsed="false"/>
    <row r="359" customFormat="false" ht="13.5" hidden="false" customHeight="true" outlineLevel="0" collapsed="false"/>
    <row r="360" customFormat="false" ht="13.5" hidden="false" customHeight="true" outlineLevel="0" collapsed="false"/>
    <row r="361" customFormat="false" ht="13.5" hidden="false" customHeight="true" outlineLevel="0" collapsed="false"/>
    <row r="362" customFormat="false" ht="13.5" hidden="false" customHeight="true" outlineLevel="0" collapsed="false"/>
    <row r="363" customFormat="false" ht="13.5" hidden="false" customHeight="true" outlineLevel="0" collapsed="false"/>
    <row r="364" customFormat="false" ht="13.5" hidden="false" customHeight="true" outlineLevel="0" collapsed="false"/>
    <row r="365" customFormat="false" ht="13.5" hidden="false" customHeight="true" outlineLevel="0" collapsed="false"/>
    <row r="366" customFormat="false" ht="13.5" hidden="false" customHeight="true" outlineLevel="0" collapsed="false"/>
    <row r="367" customFormat="false" ht="13.5" hidden="false" customHeight="true" outlineLevel="0" collapsed="false"/>
    <row r="368" customFormat="false" ht="13.5" hidden="false" customHeight="true" outlineLevel="0" collapsed="false"/>
    <row r="369" customFormat="false" ht="13.5" hidden="false" customHeight="true" outlineLevel="0" collapsed="false"/>
    <row r="370" customFormat="false" ht="13.5" hidden="false" customHeight="true" outlineLevel="0" collapsed="false"/>
    <row r="371" customFormat="false" ht="13.5" hidden="false" customHeight="true" outlineLevel="0" collapsed="false"/>
    <row r="372" customFormat="false" ht="13.5" hidden="false" customHeight="true" outlineLevel="0" collapsed="false"/>
    <row r="373" customFormat="false" ht="13.5" hidden="false" customHeight="true" outlineLevel="0" collapsed="false"/>
    <row r="374" customFormat="false" ht="13.5" hidden="false" customHeight="true" outlineLevel="0" collapsed="false"/>
    <row r="375" customFormat="false" ht="13.5" hidden="false" customHeight="true" outlineLevel="0" collapsed="false"/>
    <row r="376" customFormat="false" ht="13.5" hidden="false" customHeight="true" outlineLevel="0" collapsed="false"/>
    <row r="377" customFormat="false" ht="13.5" hidden="false" customHeight="true" outlineLevel="0" collapsed="false"/>
    <row r="378" customFormat="false" ht="13.5" hidden="false" customHeight="true" outlineLevel="0" collapsed="false"/>
    <row r="379" customFormat="false" ht="13.5" hidden="false" customHeight="true" outlineLevel="0" collapsed="false"/>
    <row r="380" customFormat="false" ht="13.5" hidden="false" customHeight="true" outlineLevel="0" collapsed="false"/>
    <row r="381" customFormat="false" ht="13.5" hidden="false" customHeight="true" outlineLevel="0" collapsed="false"/>
    <row r="382" customFormat="false" ht="13.5" hidden="false" customHeight="true" outlineLevel="0" collapsed="false"/>
    <row r="383" customFormat="false" ht="13.5" hidden="false" customHeight="true" outlineLevel="0" collapsed="false"/>
    <row r="384" customFormat="false" ht="13.5" hidden="false" customHeight="true" outlineLevel="0" collapsed="false"/>
    <row r="385" customFormat="false" ht="13.5" hidden="false" customHeight="true" outlineLevel="0" collapsed="false"/>
    <row r="386" customFormat="false" ht="13.5" hidden="false" customHeight="true" outlineLevel="0" collapsed="false"/>
    <row r="387" customFormat="false" ht="13.5" hidden="false" customHeight="true" outlineLevel="0" collapsed="false"/>
    <row r="388" customFormat="false" ht="13.5" hidden="false" customHeight="true" outlineLevel="0" collapsed="false"/>
    <row r="389" customFormat="false" ht="13.5" hidden="false" customHeight="true" outlineLevel="0" collapsed="false"/>
    <row r="390" customFormat="false" ht="13.5" hidden="false" customHeight="true" outlineLevel="0" collapsed="false"/>
    <row r="391" customFormat="false" ht="13.5" hidden="false" customHeight="true" outlineLevel="0" collapsed="false"/>
    <row r="392" customFormat="false" ht="13.5" hidden="false" customHeight="true" outlineLevel="0" collapsed="false"/>
    <row r="393" customFormat="false" ht="13.5" hidden="false" customHeight="true" outlineLevel="0" collapsed="false"/>
    <row r="394" customFormat="false" ht="13.5" hidden="false" customHeight="true" outlineLevel="0" collapsed="false"/>
    <row r="395" customFormat="false" ht="13.5" hidden="false" customHeight="true" outlineLevel="0" collapsed="false"/>
    <row r="396" customFormat="false" ht="13.5" hidden="false" customHeight="true" outlineLevel="0" collapsed="false"/>
    <row r="397" customFormat="false" ht="13.5" hidden="false" customHeight="true" outlineLevel="0" collapsed="false"/>
    <row r="398" customFormat="false" ht="13.5" hidden="false" customHeight="true" outlineLevel="0" collapsed="false"/>
    <row r="399" customFormat="false" ht="13.5" hidden="false" customHeight="true" outlineLevel="0" collapsed="false"/>
    <row r="400" customFormat="false" ht="13.5" hidden="false" customHeight="true" outlineLevel="0" collapsed="false"/>
    <row r="401" customFormat="false" ht="13.5" hidden="false" customHeight="true" outlineLevel="0" collapsed="false"/>
    <row r="402" customFormat="false" ht="13.5" hidden="false" customHeight="true" outlineLevel="0" collapsed="false"/>
    <row r="403" customFormat="false" ht="13.5" hidden="false" customHeight="true" outlineLevel="0" collapsed="false"/>
    <row r="404" customFormat="false" ht="13.5" hidden="false" customHeight="true" outlineLevel="0" collapsed="false"/>
    <row r="405" customFormat="false" ht="13.5" hidden="false" customHeight="true" outlineLevel="0" collapsed="false"/>
    <row r="406" customFormat="false" ht="13.5" hidden="false" customHeight="true" outlineLevel="0" collapsed="false"/>
    <row r="407" customFormat="false" ht="13.5" hidden="false" customHeight="true" outlineLevel="0" collapsed="false"/>
    <row r="408" customFormat="false" ht="13.5" hidden="false" customHeight="true" outlineLevel="0" collapsed="false"/>
    <row r="409" customFormat="false" ht="13.5" hidden="false" customHeight="true" outlineLevel="0" collapsed="false"/>
    <row r="410" customFormat="false" ht="13.5" hidden="false" customHeight="true" outlineLevel="0" collapsed="false"/>
    <row r="411" customFormat="false" ht="13.5" hidden="false" customHeight="true" outlineLevel="0" collapsed="false"/>
    <row r="412" customFormat="false" ht="13.5" hidden="false" customHeight="true" outlineLevel="0" collapsed="false"/>
    <row r="413" customFormat="false" ht="13.5" hidden="false" customHeight="true" outlineLevel="0" collapsed="false"/>
    <row r="414" customFormat="false" ht="13.5" hidden="false" customHeight="true" outlineLevel="0" collapsed="false"/>
    <row r="415" customFormat="false" ht="13.5" hidden="false" customHeight="true" outlineLevel="0" collapsed="false"/>
    <row r="416" customFormat="false" ht="13.5" hidden="false" customHeight="true" outlineLevel="0" collapsed="false"/>
    <row r="417" customFormat="false" ht="13.5" hidden="false" customHeight="true" outlineLevel="0" collapsed="false"/>
    <row r="418" customFormat="false" ht="13.5" hidden="false" customHeight="true" outlineLevel="0" collapsed="false"/>
    <row r="419" customFormat="false" ht="13.5" hidden="false" customHeight="true" outlineLevel="0" collapsed="false"/>
    <row r="420" customFormat="false" ht="13.5" hidden="false" customHeight="true" outlineLevel="0" collapsed="false"/>
    <row r="421" customFormat="false" ht="13.5" hidden="false" customHeight="true" outlineLevel="0" collapsed="false"/>
    <row r="422" customFormat="false" ht="13.5" hidden="false" customHeight="true" outlineLevel="0" collapsed="false"/>
    <row r="423" customFormat="false" ht="13.5" hidden="false" customHeight="true" outlineLevel="0" collapsed="false"/>
    <row r="424" customFormat="false" ht="13.5" hidden="false" customHeight="true" outlineLevel="0" collapsed="false"/>
    <row r="425" customFormat="false" ht="13.5" hidden="false" customHeight="true" outlineLevel="0" collapsed="false"/>
    <row r="426" customFormat="false" ht="13.5" hidden="false" customHeight="true" outlineLevel="0" collapsed="false"/>
    <row r="427" customFormat="false" ht="13.5" hidden="false" customHeight="true" outlineLevel="0" collapsed="false"/>
    <row r="428" customFormat="false" ht="13.5" hidden="false" customHeight="true" outlineLevel="0" collapsed="false"/>
    <row r="429" customFormat="false" ht="13.5" hidden="false" customHeight="true" outlineLevel="0" collapsed="false"/>
    <row r="430" customFormat="false" ht="13.5" hidden="false" customHeight="true" outlineLevel="0" collapsed="false"/>
    <row r="431" customFormat="false" ht="13.5" hidden="false" customHeight="true" outlineLevel="0" collapsed="false"/>
    <row r="432" customFormat="false" ht="13.5" hidden="false" customHeight="true" outlineLevel="0" collapsed="false"/>
    <row r="433" customFormat="false" ht="13.5" hidden="false" customHeight="true" outlineLevel="0" collapsed="false"/>
    <row r="434" customFormat="false" ht="13.5" hidden="false" customHeight="true" outlineLevel="0" collapsed="false"/>
    <row r="435" customFormat="false" ht="13.5" hidden="false" customHeight="true" outlineLevel="0" collapsed="false"/>
    <row r="436" customFormat="false" ht="13.5" hidden="false" customHeight="true" outlineLevel="0" collapsed="false"/>
    <row r="437" customFormat="false" ht="13.5" hidden="false" customHeight="true" outlineLevel="0" collapsed="false"/>
    <row r="438" customFormat="false" ht="13.5" hidden="false" customHeight="true" outlineLevel="0" collapsed="false"/>
    <row r="439" customFormat="false" ht="13.5" hidden="false" customHeight="true" outlineLevel="0" collapsed="false"/>
    <row r="440" customFormat="false" ht="13.5" hidden="false" customHeight="true" outlineLevel="0" collapsed="false"/>
    <row r="441" customFormat="false" ht="13.5" hidden="false" customHeight="true" outlineLevel="0" collapsed="false"/>
    <row r="442" customFormat="false" ht="13.5" hidden="false" customHeight="true" outlineLevel="0" collapsed="false"/>
    <row r="443" customFormat="false" ht="13.5" hidden="false" customHeight="true" outlineLevel="0" collapsed="false"/>
    <row r="444" customFormat="false" ht="13.5" hidden="false" customHeight="true" outlineLevel="0" collapsed="false"/>
    <row r="445" customFormat="false" ht="13.5" hidden="false" customHeight="true" outlineLevel="0" collapsed="false"/>
    <row r="446" customFormat="false" ht="13.5" hidden="false" customHeight="true" outlineLevel="0" collapsed="false"/>
    <row r="447" customFormat="false" ht="13.5" hidden="false" customHeight="true" outlineLevel="0" collapsed="false"/>
    <row r="448" customFormat="false" ht="13.5" hidden="false" customHeight="true" outlineLevel="0" collapsed="false"/>
    <row r="449" customFormat="false" ht="13.5" hidden="false" customHeight="true" outlineLevel="0" collapsed="false"/>
    <row r="450" customFormat="false" ht="13.5" hidden="false" customHeight="true" outlineLevel="0" collapsed="false"/>
    <row r="451" customFormat="false" ht="13.5" hidden="false" customHeight="true" outlineLevel="0" collapsed="false"/>
    <row r="452" customFormat="false" ht="13.5" hidden="false" customHeight="true" outlineLevel="0" collapsed="false"/>
    <row r="453" customFormat="false" ht="13.5" hidden="false" customHeight="true" outlineLevel="0" collapsed="false"/>
    <row r="454" customFormat="false" ht="13.5" hidden="false" customHeight="true" outlineLevel="0" collapsed="false"/>
    <row r="455" customFormat="false" ht="13.5" hidden="false" customHeight="true" outlineLevel="0" collapsed="false"/>
    <row r="456" customFormat="false" ht="13.5" hidden="false" customHeight="true" outlineLevel="0" collapsed="false"/>
    <row r="457" customFormat="false" ht="13.5" hidden="false" customHeight="true" outlineLevel="0" collapsed="false"/>
    <row r="458" customFormat="false" ht="13.5" hidden="false" customHeight="true" outlineLevel="0" collapsed="false"/>
    <row r="459" customFormat="false" ht="13.5" hidden="false" customHeight="true" outlineLevel="0" collapsed="false"/>
    <row r="460" customFormat="false" ht="13.5" hidden="false" customHeight="true" outlineLevel="0" collapsed="false"/>
    <row r="461" customFormat="false" ht="13.5" hidden="false" customHeight="true" outlineLevel="0" collapsed="false"/>
    <row r="462" customFormat="false" ht="13.5" hidden="false" customHeight="true" outlineLevel="0" collapsed="false"/>
    <row r="463" customFormat="false" ht="13.5" hidden="false" customHeight="true" outlineLevel="0" collapsed="false"/>
    <row r="464" customFormat="false" ht="13.5" hidden="false" customHeight="true" outlineLevel="0" collapsed="false"/>
    <row r="465" customFormat="false" ht="13.5" hidden="false" customHeight="true" outlineLevel="0" collapsed="false"/>
    <row r="466" customFormat="false" ht="13.5" hidden="false" customHeight="true" outlineLevel="0" collapsed="false"/>
    <row r="467" customFormat="false" ht="13.5" hidden="false" customHeight="true" outlineLevel="0" collapsed="false"/>
    <row r="468" customFormat="false" ht="13.5" hidden="false" customHeight="true" outlineLevel="0" collapsed="false"/>
    <row r="469" customFormat="false" ht="13.5" hidden="false" customHeight="true" outlineLevel="0" collapsed="false"/>
    <row r="470" customFormat="false" ht="13.5" hidden="false" customHeight="true" outlineLevel="0" collapsed="false"/>
    <row r="471" customFormat="false" ht="13.5" hidden="false" customHeight="true" outlineLevel="0" collapsed="false"/>
    <row r="472" customFormat="false" ht="13.5" hidden="false" customHeight="true" outlineLevel="0" collapsed="false"/>
    <row r="473" customFormat="false" ht="13.5" hidden="false" customHeight="true" outlineLevel="0" collapsed="false"/>
    <row r="474" customFormat="false" ht="13.5" hidden="false" customHeight="true" outlineLevel="0" collapsed="false"/>
    <row r="475" customFormat="false" ht="13.5" hidden="false" customHeight="true" outlineLevel="0" collapsed="false"/>
    <row r="476" customFormat="false" ht="13.5" hidden="false" customHeight="true" outlineLevel="0" collapsed="false"/>
    <row r="477" customFormat="false" ht="13.5" hidden="false" customHeight="true" outlineLevel="0" collapsed="false"/>
    <row r="478" customFormat="false" ht="13.5" hidden="false" customHeight="true" outlineLevel="0" collapsed="false"/>
    <row r="479" customFormat="false" ht="13.5" hidden="false" customHeight="true" outlineLevel="0" collapsed="false"/>
    <row r="480" customFormat="false" ht="13.5" hidden="false" customHeight="true" outlineLevel="0" collapsed="false"/>
    <row r="481" customFormat="false" ht="13.5" hidden="false" customHeight="true" outlineLevel="0" collapsed="false"/>
    <row r="482" customFormat="false" ht="13.5" hidden="false" customHeight="true" outlineLevel="0" collapsed="false"/>
    <row r="483" customFormat="false" ht="13.5" hidden="false" customHeight="true" outlineLevel="0" collapsed="false"/>
    <row r="484" customFormat="false" ht="13.5" hidden="false" customHeight="true" outlineLevel="0" collapsed="false"/>
    <row r="485" customFormat="false" ht="13.5" hidden="false" customHeight="true" outlineLevel="0" collapsed="false"/>
    <row r="486" customFormat="false" ht="13.5" hidden="false" customHeight="true" outlineLevel="0" collapsed="false"/>
    <row r="487" customFormat="false" ht="13.5" hidden="false" customHeight="true" outlineLevel="0" collapsed="false"/>
    <row r="488" customFormat="false" ht="13.5" hidden="false" customHeight="true" outlineLevel="0" collapsed="false"/>
    <row r="489" customFormat="false" ht="13.5" hidden="false" customHeight="true" outlineLevel="0" collapsed="false"/>
    <row r="490" customFormat="false" ht="13.5" hidden="false" customHeight="true" outlineLevel="0" collapsed="false"/>
    <row r="491" customFormat="false" ht="13.5" hidden="false" customHeight="true" outlineLevel="0" collapsed="false"/>
    <row r="492" customFormat="false" ht="13.5" hidden="false" customHeight="true" outlineLevel="0" collapsed="false"/>
    <row r="493" customFormat="false" ht="13.5" hidden="false" customHeight="true" outlineLevel="0" collapsed="false"/>
    <row r="494" customFormat="false" ht="13.5" hidden="false" customHeight="true" outlineLevel="0" collapsed="false"/>
    <row r="495" customFormat="false" ht="13.5" hidden="false" customHeight="true" outlineLevel="0" collapsed="false"/>
    <row r="496" customFormat="false" ht="13.5" hidden="false" customHeight="true" outlineLevel="0" collapsed="false"/>
    <row r="497" customFormat="false" ht="13.5" hidden="false" customHeight="true" outlineLevel="0" collapsed="false"/>
    <row r="498" customFormat="false" ht="13.5" hidden="false" customHeight="true" outlineLevel="0" collapsed="false"/>
    <row r="499" customFormat="false" ht="13.5" hidden="false" customHeight="true" outlineLevel="0" collapsed="false"/>
    <row r="500" customFormat="false" ht="13.5" hidden="false" customHeight="true" outlineLevel="0" collapsed="false"/>
    <row r="501" customFormat="false" ht="13.5" hidden="false" customHeight="true" outlineLevel="0" collapsed="false"/>
    <row r="502" customFormat="false" ht="13.5" hidden="false" customHeight="true" outlineLevel="0" collapsed="false"/>
    <row r="503" customFormat="false" ht="13.5" hidden="false" customHeight="true" outlineLevel="0" collapsed="false"/>
    <row r="504" customFormat="false" ht="13.5" hidden="false" customHeight="true" outlineLevel="0" collapsed="false"/>
    <row r="505" customFormat="false" ht="13.5" hidden="false" customHeight="true" outlineLevel="0" collapsed="false"/>
    <row r="506" customFormat="false" ht="13.5" hidden="false" customHeight="true" outlineLevel="0" collapsed="false"/>
    <row r="507" customFormat="false" ht="13.5" hidden="false" customHeight="true" outlineLevel="0" collapsed="false"/>
    <row r="508" customFormat="false" ht="13.5" hidden="false" customHeight="true" outlineLevel="0" collapsed="false"/>
    <row r="509" customFormat="false" ht="13.5" hidden="false" customHeight="true" outlineLevel="0" collapsed="false"/>
    <row r="510" customFormat="false" ht="13.5" hidden="false" customHeight="true" outlineLevel="0" collapsed="false"/>
    <row r="511" customFormat="false" ht="13.5" hidden="false" customHeight="true" outlineLevel="0" collapsed="false"/>
    <row r="512" customFormat="false" ht="13.5" hidden="false" customHeight="true" outlineLevel="0" collapsed="false"/>
    <row r="513" customFormat="false" ht="13.5" hidden="false" customHeight="true" outlineLevel="0" collapsed="false"/>
    <row r="514" customFormat="false" ht="13.5" hidden="false" customHeight="true" outlineLevel="0" collapsed="false"/>
    <row r="515" customFormat="false" ht="13.5" hidden="false" customHeight="true" outlineLevel="0" collapsed="false"/>
    <row r="516" customFormat="false" ht="13.5" hidden="false" customHeight="true" outlineLevel="0" collapsed="false"/>
    <row r="517" customFormat="false" ht="13.5" hidden="false" customHeight="true" outlineLevel="0" collapsed="false"/>
    <row r="518" customFormat="false" ht="13.5" hidden="false" customHeight="true" outlineLevel="0" collapsed="false"/>
    <row r="519" customFormat="false" ht="13.5" hidden="false" customHeight="true" outlineLevel="0" collapsed="false"/>
    <row r="520" customFormat="false" ht="13.5" hidden="false" customHeight="true" outlineLevel="0" collapsed="false"/>
    <row r="521" customFormat="false" ht="13.5" hidden="false" customHeight="true" outlineLevel="0" collapsed="false"/>
    <row r="522" customFormat="false" ht="13.5" hidden="false" customHeight="true" outlineLevel="0" collapsed="false"/>
    <row r="523" customFormat="false" ht="13.5" hidden="false" customHeight="true" outlineLevel="0" collapsed="false"/>
    <row r="524" customFormat="false" ht="13.5" hidden="false" customHeight="true" outlineLevel="0" collapsed="false"/>
    <row r="525" customFormat="false" ht="13.5" hidden="false" customHeight="true" outlineLevel="0" collapsed="false"/>
    <row r="526" customFormat="false" ht="13.5" hidden="false" customHeight="true" outlineLevel="0" collapsed="false"/>
    <row r="527" customFormat="false" ht="13.5" hidden="false" customHeight="true" outlineLevel="0" collapsed="false"/>
    <row r="528" customFormat="false" ht="13.5" hidden="false" customHeight="true" outlineLevel="0" collapsed="false"/>
    <row r="529" customFormat="false" ht="13.5" hidden="false" customHeight="true" outlineLevel="0" collapsed="false"/>
    <row r="530" customFormat="false" ht="13.5" hidden="false" customHeight="true" outlineLevel="0" collapsed="false"/>
    <row r="531" customFormat="false" ht="13.5" hidden="false" customHeight="true" outlineLevel="0" collapsed="false"/>
    <row r="532" customFormat="false" ht="13.5" hidden="false" customHeight="true" outlineLevel="0" collapsed="false"/>
    <row r="533" customFormat="false" ht="13.5" hidden="false" customHeight="true" outlineLevel="0" collapsed="false"/>
    <row r="534" customFormat="false" ht="13.5" hidden="false" customHeight="true" outlineLevel="0" collapsed="false"/>
    <row r="535" customFormat="false" ht="13.5" hidden="false" customHeight="true" outlineLevel="0" collapsed="false"/>
    <row r="536" customFormat="false" ht="13.5" hidden="false" customHeight="true" outlineLevel="0" collapsed="false"/>
    <row r="537" customFormat="false" ht="13.5" hidden="false" customHeight="true" outlineLevel="0" collapsed="false"/>
    <row r="538" customFormat="false" ht="13.5" hidden="false" customHeight="true" outlineLevel="0" collapsed="false"/>
    <row r="539" customFormat="false" ht="13.5" hidden="false" customHeight="true" outlineLevel="0" collapsed="false"/>
    <row r="540" customFormat="false" ht="13.5" hidden="false" customHeight="true" outlineLevel="0" collapsed="false"/>
    <row r="541" customFormat="false" ht="13.5" hidden="false" customHeight="true" outlineLevel="0" collapsed="false"/>
    <row r="542" customFormat="false" ht="13.5" hidden="false" customHeight="true" outlineLevel="0" collapsed="false"/>
    <row r="543" customFormat="false" ht="13.5" hidden="false" customHeight="true" outlineLevel="0" collapsed="false"/>
    <row r="544" customFormat="false" ht="13.5" hidden="false" customHeight="true" outlineLevel="0" collapsed="false"/>
    <row r="545" customFormat="false" ht="13.5" hidden="false" customHeight="true" outlineLevel="0" collapsed="false"/>
    <row r="546" customFormat="false" ht="13.5" hidden="false" customHeight="true" outlineLevel="0" collapsed="false"/>
    <row r="547" customFormat="false" ht="13.5" hidden="false" customHeight="true" outlineLevel="0" collapsed="false"/>
    <row r="548" customFormat="false" ht="13.5" hidden="false" customHeight="true" outlineLevel="0" collapsed="false"/>
    <row r="549" customFormat="false" ht="13.5" hidden="false" customHeight="true" outlineLevel="0" collapsed="false"/>
    <row r="550" customFormat="false" ht="13.5" hidden="false" customHeight="true" outlineLevel="0" collapsed="false"/>
    <row r="551" customFormat="false" ht="13.5" hidden="false" customHeight="true" outlineLevel="0" collapsed="false"/>
    <row r="552" customFormat="false" ht="13.5" hidden="false" customHeight="true" outlineLevel="0" collapsed="false"/>
    <row r="553" customFormat="false" ht="13.5" hidden="false" customHeight="true" outlineLevel="0" collapsed="false"/>
    <row r="554" customFormat="false" ht="13.5" hidden="false" customHeight="true" outlineLevel="0" collapsed="false"/>
    <row r="555" customFormat="false" ht="13.5" hidden="false" customHeight="true" outlineLevel="0" collapsed="false"/>
    <row r="556" customFormat="false" ht="13.5" hidden="false" customHeight="true" outlineLevel="0" collapsed="false"/>
    <row r="557" customFormat="false" ht="13.5" hidden="false" customHeight="true" outlineLevel="0" collapsed="false"/>
    <row r="558" customFormat="false" ht="13.5" hidden="false" customHeight="true" outlineLevel="0" collapsed="false"/>
    <row r="559" customFormat="false" ht="13.5" hidden="false" customHeight="true" outlineLevel="0" collapsed="false"/>
    <row r="560" customFormat="false" ht="13.5" hidden="false" customHeight="true" outlineLevel="0" collapsed="false"/>
    <row r="561" customFormat="false" ht="13.5" hidden="false" customHeight="true" outlineLevel="0" collapsed="false"/>
    <row r="562" customFormat="false" ht="13.5" hidden="false" customHeight="true" outlineLevel="0" collapsed="false"/>
    <row r="563" customFormat="false" ht="13.5" hidden="false" customHeight="true" outlineLevel="0" collapsed="false"/>
    <row r="564" customFormat="false" ht="13.5" hidden="false" customHeight="true" outlineLevel="0" collapsed="false"/>
    <row r="565" customFormat="false" ht="13.5" hidden="false" customHeight="true" outlineLevel="0" collapsed="false"/>
    <row r="566" customFormat="false" ht="13.5" hidden="false" customHeight="true" outlineLevel="0" collapsed="false"/>
    <row r="567" customFormat="false" ht="13.5" hidden="false" customHeight="true" outlineLevel="0" collapsed="false"/>
    <row r="568" customFormat="false" ht="13.5" hidden="false" customHeight="true" outlineLevel="0" collapsed="false"/>
    <row r="569" customFormat="false" ht="13.5" hidden="false" customHeight="true" outlineLevel="0" collapsed="false"/>
    <row r="570" customFormat="false" ht="13.5" hidden="false" customHeight="true" outlineLevel="0" collapsed="false"/>
    <row r="571" customFormat="false" ht="13.5" hidden="false" customHeight="true" outlineLevel="0" collapsed="false"/>
    <row r="572" customFormat="false" ht="13.5" hidden="false" customHeight="true" outlineLevel="0" collapsed="false"/>
    <row r="573" customFormat="false" ht="13.5" hidden="false" customHeight="true" outlineLevel="0" collapsed="false"/>
    <row r="574" customFormat="false" ht="13.5" hidden="false" customHeight="true" outlineLevel="0" collapsed="false"/>
    <row r="575" customFormat="false" ht="13.5" hidden="false" customHeight="true" outlineLevel="0" collapsed="false"/>
    <row r="576" customFormat="false" ht="13.5" hidden="false" customHeight="true" outlineLevel="0" collapsed="false"/>
    <row r="577" customFormat="false" ht="13.5" hidden="false" customHeight="true" outlineLevel="0" collapsed="false"/>
    <row r="578" customFormat="false" ht="13.5" hidden="false" customHeight="true" outlineLevel="0" collapsed="false"/>
    <row r="579" customFormat="false" ht="13.5" hidden="false" customHeight="true" outlineLevel="0" collapsed="false"/>
    <row r="580" customFormat="false" ht="13.5" hidden="false" customHeight="true" outlineLevel="0" collapsed="false"/>
    <row r="581" customFormat="false" ht="13.5" hidden="false" customHeight="true" outlineLevel="0" collapsed="false"/>
    <row r="582" customFormat="false" ht="13.5" hidden="false" customHeight="true" outlineLevel="0" collapsed="false"/>
    <row r="583" customFormat="false" ht="13.5" hidden="false" customHeight="true" outlineLevel="0" collapsed="false"/>
    <row r="584" customFormat="false" ht="13.5" hidden="false" customHeight="true" outlineLevel="0" collapsed="false"/>
    <row r="585" customFormat="false" ht="13.5" hidden="false" customHeight="true" outlineLevel="0" collapsed="false"/>
    <row r="586" customFormat="false" ht="13.5" hidden="false" customHeight="true" outlineLevel="0" collapsed="false"/>
    <row r="587" customFormat="false" ht="13.5" hidden="false" customHeight="true" outlineLevel="0" collapsed="false"/>
    <row r="588" customFormat="false" ht="13.5" hidden="false" customHeight="true" outlineLevel="0" collapsed="false"/>
    <row r="589" customFormat="false" ht="13.5" hidden="false" customHeight="true" outlineLevel="0" collapsed="false"/>
    <row r="590" customFormat="false" ht="13.5" hidden="false" customHeight="true" outlineLevel="0" collapsed="false"/>
    <row r="591" customFormat="false" ht="13.5" hidden="false" customHeight="true" outlineLevel="0" collapsed="false"/>
    <row r="592" customFormat="false" ht="13.5" hidden="false" customHeight="true" outlineLevel="0" collapsed="false"/>
    <row r="593" customFormat="false" ht="13.5" hidden="false" customHeight="true" outlineLevel="0" collapsed="false"/>
    <row r="594" customFormat="false" ht="13.5" hidden="false" customHeight="true" outlineLevel="0" collapsed="false"/>
    <row r="595" customFormat="false" ht="13.5" hidden="false" customHeight="true" outlineLevel="0" collapsed="false"/>
    <row r="596" customFormat="false" ht="13.5" hidden="false" customHeight="true" outlineLevel="0" collapsed="false"/>
    <row r="597" customFormat="false" ht="13.5" hidden="false" customHeight="true" outlineLevel="0" collapsed="false"/>
    <row r="598" customFormat="false" ht="13.5" hidden="false" customHeight="true" outlineLevel="0" collapsed="false"/>
    <row r="599" customFormat="false" ht="13.5" hidden="false" customHeight="true" outlineLevel="0" collapsed="false"/>
    <row r="600" customFormat="false" ht="13.5" hidden="false" customHeight="true" outlineLevel="0" collapsed="false"/>
    <row r="601" customFormat="false" ht="13.5" hidden="false" customHeight="true" outlineLevel="0" collapsed="false"/>
    <row r="602" customFormat="false" ht="13.5" hidden="false" customHeight="true" outlineLevel="0" collapsed="false"/>
    <row r="603" customFormat="false" ht="13.5" hidden="false" customHeight="true" outlineLevel="0" collapsed="false"/>
    <row r="604" customFormat="false" ht="13.5" hidden="false" customHeight="true" outlineLevel="0" collapsed="false"/>
    <row r="605" customFormat="false" ht="13.5" hidden="false" customHeight="true" outlineLevel="0" collapsed="false"/>
    <row r="606" customFormat="false" ht="13.5" hidden="false" customHeight="true" outlineLevel="0" collapsed="false"/>
    <row r="607" customFormat="false" ht="13.5" hidden="false" customHeight="true" outlineLevel="0" collapsed="false"/>
    <row r="608" customFormat="false" ht="13.5" hidden="false" customHeight="true" outlineLevel="0" collapsed="false"/>
    <row r="609" customFormat="false" ht="13.5" hidden="false" customHeight="true" outlineLevel="0" collapsed="false"/>
    <row r="610" customFormat="false" ht="13.5" hidden="false" customHeight="true" outlineLevel="0" collapsed="false"/>
    <row r="611" customFormat="false" ht="13.5" hidden="false" customHeight="true" outlineLevel="0" collapsed="false"/>
    <row r="612" customFormat="false" ht="13.5" hidden="false" customHeight="true" outlineLevel="0" collapsed="false"/>
    <row r="613" customFormat="false" ht="13.5" hidden="false" customHeight="true" outlineLevel="0" collapsed="false"/>
    <row r="614" customFormat="false" ht="13.5" hidden="false" customHeight="true" outlineLevel="0" collapsed="false"/>
    <row r="615" customFormat="false" ht="13.5" hidden="false" customHeight="true" outlineLevel="0" collapsed="false"/>
    <row r="616" customFormat="false" ht="13.5" hidden="false" customHeight="true" outlineLevel="0" collapsed="false"/>
    <row r="617" customFormat="false" ht="13.5" hidden="false" customHeight="true" outlineLevel="0" collapsed="false"/>
    <row r="618" customFormat="false" ht="13.5" hidden="false" customHeight="true" outlineLevel="0" collapsed="false"/>
    <row r="619" customFormat="false" ht="13.5" hidden="false" customHeight="true" outlineLevel="0" collapsed="false"/>
    <row r="620" customFormat="false" ht="13.5" hidden="false" customHeight="true" outlineLevel="0" collapsed="false"/>
    <row r="621" customFormat="false" ht="13.5" hidden="false" customHeight="true" outlineLevel="0" collapsed="false"/>
    <row r="622" customFormat="false" ht="13.5" hidden="false" customHeight="true" outlineLevel="0" collapsed="false"/>
    <row r="623" customFormat="false" ht="13.5" hidden="false" customHeight="true" outlineLevel="0" collapsed="false"/>
    <row r="624" customFormat="false" ht="13.5" hidden="false" customHeight="true" outlineLevel="0" collapsed="false"/>
    <row r="625" customFormat="false" ht="13.5" hidden="false" customHeight="true" outlineLevel="0" collapsed="false"/>
    <row r="626" customFormat="false" ht="13.5" hidden="false" customHeight="true" outlineLevel="0" collapsed="false"/>
    <row r="627" customFormat="false" ht="13.5" hidden="false" customHeight="true" outlineLevel="0" collapsed="false"/>
    <row r="628" customFormat="false" ht="13.5" hidden="false" customHeight="true" outlineLevel="0" collapsed="false"/>
    <row r="629" customFormat="false" ht="13.5" hidden="false" customHeight="true" outlineLevel="0" collapsed="false"/>
    <row r="630" customFormat="false" ht="13.5" hidden="false" customHeight="true" outlineLevel="0" collapsed="false"/>
    <row r="631" customFormat="false" ht="13.5" hidden="false" customHeight="true" outlineLevel="0" collapsed="false"/>
    <row r="632" customFormat="false" ht="13.5" hidden="false" customHeight="true" outlineLevel="0" collapsed="false"/>
    <row r="633" customFormat="false" ht="13.5" hidden="false" customHeight="true" outlineLevel="0" collapsed="false"/>
    <row r="634" customFormat="false" ht="13.5" hidden="false" customHeight="true" outlineLevel="0" collapsed="false"/>
    <row r="635" customFormat="false" ht="13.5" hidden="false" customHeight="true" outlineLevel="0" collapsed="false"/>
    <row r="636" customFormat="false" ht="13.5" hidden="false" customHeight="true" outlineLevel="0" collapsed="false"/>
    <row r="637" customFormat="false" ht="13.5" hidden="false" customHeight="true" outlineLevel="0" collapsed="false"/>
    <row r="638" customFormat="false" ht="13.5" hidden="false" customHeight="true" outlineLevel="0" collapsed="false"/>
    <row r="639" customFormat="false" ht="13.5" hidden="false" customHeight="true" outlineLevel="0" collapsed="false"/>
    <row r="640" customFormat="false" ht="13.5" hidden="false" customHeight="true" outlineLevel="0" collapsed="false"/>
    <row r="641" customFormat="false" ht="13.5" hidden="false" customHeight="true" outlineLevel="0" collapsed="false"/>
    <row r="642" customFormat="false" ht="13.5" hidden="false" customHeight="true" outlineLevel="0" collapsed="false"/>
    <row r="643" customFormat="false" ht="13.5" hidden="false" customHeight="true" outlineLevel="0" collapsed="false"/>
    <row r="644" customFormat="false" ht="13.5" hidden="false" customHeight="true" outlineLevel="0" collapsed="false"/>
    <row r="645" customFormat="false" ht="13.5" hidden="false" customHeight="true" outlineLevel="0" collapsed="false"/>
    <row r="646" customFormat="false" ht="13.5" hidden="false" customHeight="true" outlineLevel="0" collapsed="false"/>
    <row r="647" customFormat="false" ht="13.5" hidden="false" customHeight="true" outlineLevel="0" collapsed="false"/>
    <row r="648" customFormat="false" ht="13.5" hidden="false" customHeight="true" outlineLevel="0" collapsed="false"/>
    <row r="649" customFormat="false" ht="13.5" hidden="false" customHeight="true" outlineLevel="0" collapsed="false"/>
    <row r="650" customFormat="false" ht="13.5" hidden="false" customHeight="true" outlineLevel="0" collapsed="false"/>
    <row r="651" customFormat="false" ht="13.5" hidden="false" customHeight="true" outlineLevel="0" collapsed="false"/>
    <row r="652" customFormat="false" ht="13.5" hidden="false" customHeight="true" outlineLevel="0" collapsed="false"/>
    <row r="653" customFormat="false" ht="13.5" hidden="false" customHeight="true" outlineLevel="0" collapsed="false"/>
    <row r="654" customFormat="false" ht="13.5" hidden="false" customHeight="true" outlineLevel="0" collapsed="false"/>
    <row r="655" customFormat="false" ht="13.5" hidden="false" customHeight="true" outlineLevel="0" collapsed="false"/>
    <row r="656" customFormat="false" ht="13.5" hidden="false" customHeight="true" outlineLevel="0" collapsed="false"/>
    <row r="657" customFormat="false" ht="13.5" hidden="false" customHeight="true" outlineLevel="0" collapsed="false"/>
    <row r="658" customFormat="false" ht="13.5" hidden="false" customHeight="true" outlineLevel="0" collapsed="false"/>
    <row r="659" customFormat="false" ht="13.5" hidden="false" customHeight="true" outlineLevel="0" collapsed="false"/>
    <row r="660" customFormat="false" ht="13.5" hidden="false" customHeight="true" outlineLevel="0" collapsed="false"/>
    <row r="661" customFormat="false" ht="13.5" hidden="false" customHeight="true" outlineLevel="0" collapsed="false"/>
    <row r="662" customFormat="false" ht="13.5" hidden="false" customHeight="true" outlineLevel="0" collapsed="false"/>
    <row r="663" customFormat="false" ht="13.5" hidden="false" customHeight="true" outlineLevel="0" collapsed="false"/>
    <row r="664" customFormat="false" ht="13.5" hidden="false" customHeight="true" outlineLevel="0" collapsed="false"/>
    <row r="665" customFormat="false" ht="13.5" hidden="false" customHeight="true" outlineLevel="0" collapsed="false"/>
    <row r="666" customFormat="false" ht="13.5" hidden="false" customHeight="true" outlineLevel="0" collapsed="false"/>
    <row r="667" customFormat="false" ht="13.5" hidden="false" customHeight="true" outlineLevel="0" collapsed="false"/>
    <row r="668" customFormat="false" ht="13.5" hidden="false" customHeight="true" outlineLevel="0" collapsed="false"/>
    <row r="669" customFormat="false" ht="13.5" hidden="false" customHeight="true" outlineLevel="0" collapsed="false"/>
    <row r="670" customFormat="false" ht="13.5" hidden="false" customHeight="true" outlineLevel="0" collapsed="false"/>
    <row r="671" customFormat="false" ht="13.5" hidden="false" customHeight="true" outlineLevel="0" collapsed="false"/>
    <row r="672" customFormat="false" ht="13.5" hidden="false" customHeight="true" outlineLevel="0" collapsed="false"/>
    <row r="673" customFormat="false" ht="13.5" hidden="false" customHeight="true" outlineLevel="0" collapsed="false"/>
    <row r="674" customFormat="false" ht="13.5" hidden="false" customHeight="true" outlineLevel="0" collapsed="false"/>
    <row r="675" customFormat="false" ht="13.5" hidden="false" customHeight="true" outlineLevel="0" collapsed="false"/>
    <row r="676" customFormat="false" ht="13.5" hidden="false" customHeight="true" outlineLevel="0" collapsed="false"/>
    <row r="677" customFormat="false" ht="13.5" hidden="false" customHeight="true" outlineLevel="0" collapsed="false"/>
    <row r="678" customFormat="false" ht="13.5" hidden="false" customHeight="true" outlineLevel="0" collapsed="false"/>
    <row r="679" customFormat="false" ht="13.5" hidden="false" customHeight="true" outlineLevel="0" collapsed="false"/>
    <row r="680" customFormat="false" ht="13.5" hidden="false" customHeight="true" outlineLevel="0" collapsed="false"/>
    <row r="681" customFormat="false" ht="13.5" hidden="false" customHeight="true" outlineLevel="0" collapsed="false"/>
    <row r="682" customFormat="false" ht="13.5" hidden="false" customHeight="true" outlineLevel="0" collapsed="false"/>
    <row r="683" customFormat="false" ht="13.5" hidden="false" customHeight="true" outlineLevel="0" collapsed="false"/>
    <row r="684" customFormat="false" ht="13.5" hidden="false" customHeight="true" outlineLevel="0" collapsed="false"/>
    <row r="685" customFormat="false" ht="13.5" hidden="false" customHeight="true" outlineLevel="0" collapsed="false"/>
    <row r="686" customFormat="false" ht="13.5" hidden="false" customHeight="true" outlineLevel="0" collapsed="false"/>
    <row r="687" customFormat="false" ht="13.5" hidden="false" customHeight="true" outlineLevel="0" collapsed="false"/>
    <row r="688" customFormat="false" ht="13.5" hidden="false" customHeight="true" outlineLevel="0" collapsed="false"/>
    <row r="689" customFormat="false" ht="13.5" hidden="false" customHeight="true" outlineLevel="0" collapsed="false"/>
    <row r="690" customFormat="false" ht="13.5" hidden="false" customHeight="true" outlineLevel="0" collapsed="false"/>
    <row r="691" customFormat="false" ht="13.5" hidden="false" customHeight="true" outlineLevel="0" collapsed="false"/>
    <row r="692" customFormat="false" ht="13.5" hidden="false" customHeight="true" outlineLevel="0" collapsed="false"/>
    <row r="693" customFormat="false" ht="13.5" hidden="false" customHeight="true" outlineLevel="0" collapsed="false"/>
    <row r="694" customFormat="false" ht="13.5" hidden="false" customHeight="true" outlineLevel="0" collapsed="false"/>
    <row r="695" customFormat="false" ht="13.5" hidden="false" customHeight="true" outlineLevel="0" collapsed="false"/>
    <row r="696" customFormat="false" ht="13.5" hidden="false" customHeight="true" outlineLevel="0" collapsed="false"/>
    <row r="697" customFormat="false" ht="13.5" hidden="false" customHeight="true" outlineLevel="0" collapsed="false"/>
    <row r="698" customFormat="false" ht="13.5" hidden="false" customHeight="true" outlineLevel="0" collapsed="false"/>
    <row r="699" customFormat="false" ht="13.5" hidden="false" customHeight="true" outlineLevel="0" collapsed="false"/>
    <row r="700" customFormat="false" ht="13.5" hidden="false" customHeight="true" outlineLevel="0" collapsed="false"/>
    <row r="701" customFormat="false" ht="13.5" hidden="false" customHeight="true" outlineLevel="0" collapsed="false"/>
    <row r="702" customFormat="false" ht="13.5" hidden="false" customHeight="true" outlineLevel="0" collapsed="false"/>
    <row r="703" customFormat="false" ht="13.5" hidden="false" customHeight="true" outlineLevel="0" collapsed="false"/>
    <row r="704" customFormat="false" ht="13.5" hidden="false" customHeight="true" outlineLevel="0" collapsed="false"/>
    <row r="705" customFormat="false" ht="13.5" hidden="false" customHeight="true" outlineLevel="0" collapsed="false"/>
    <row r="706" customFormat="false" ht="13.5" hidden="false" customHeight="true" outlineLevel="0" collapsed="false"/>
    <row r="707" customFormat="false" ht="13.5" hidden="false" customHeight="true" outlineLevel="0" collapsed="false"/>
    <row r="708" customFormat="false" ht="13.5" hidden="false" customHeight="true" outlineLevel="0" collapsed="false"/>
    <row r="709" customFormat="false" ht="13.5" hidden="false" customHeight="true" outlineLevel="0" collapsed="false"/>
    <row r="710" customFormat="false" ht="13.5" hidden="false" customHeight="true" outlineLevel="0" collapsed="false"/>
    <row r="711" customFormat="false" ht="13.5" hidden="false" customHeight="true" outlineLevel="0" collapsed="false"/>
    <row r="712" customFormat="false" ht="13.5" hidden="false" customHeight="true" outlineLevel="0" collapsed="false"/>
    <row r="713" customFormat="false" ht="13.5" hidden="false" customHeight="true" outlineLevel="0" collapsed="false"/>
    <row r="714" customFormat="false" ht="13.5" hidden="false" customHeight="true" outlineLevel="0" collapsed="false"/>
    <row r="715" customFormat="false" ht="13.5" hidden="false" customHeight="true" outlineLevel="0" collapsed="false"/>
    <row r="716" customFormat="false" ht="13.5" hidden="false" customHeight="true" outlineLevel="0" collapsed="false"/>
    <row r="717" customFormat="false" ht="13.5" hidden="false" customHeight="true" outlineLevel="0" collapsed="false"/>
    <row r="718" customFormat="false" ht="13.5" hidden="false" customHeight="true" outlineLevel="0" collapsed="false"/>
    <row r="719" customFormat="false" ht="13.5" hidden="false" customHeight="true" outlineLevel="0" collapsed="false"/>
    <row r="720" customFormat="false" ht="13.5" hidden="false" customHeight="true" outlineLevel="0" collapsed="false"/>
    <row r="721" customFormat="false" ht="13.5" hidden="false" customHeight="true" outlineLevel="0" collapsed="false"/>
    <row r="722" customFormat="false" ht="13.5" hidden="false" customHeight="true" outlineLevel="0" collapsed="false"/>
    <row r="723" customFormat="false" ht="13.5" hidden="false" customHeight="true" outlineLevel="0" collapsed="false"/>
    <row r="724" customFormat="false" ht="13.5" hidden="false" customHeight="true" outlineLevel="0" collapsed="false"/>
    <row r="725" customFormat="false" ht="13.5" hidden="false" customHeight="true" outlineLevel="0" collapsed="false"/>
    <row r="726" customFormat="false" ht="13.5" hidden="false" customHeight="true" outlineLevel="0" collapsed="false"/>
    <row r="727" customFormat="false" ht="13.5" hidden="false" customHeight="true" outlineLevel="0" collapsed="false"/>
    <row r="728" customFormat="false" ht="13.5" hidden="false" customHeight="true" outlineLevel="0" collapsed="false"/>
    <row r="729" customFormat="false" ht="13.5" hidden="false" customHeight="true" outlineLevel="0" collapsed="false"/>
    <row r="730" customFormat="false" ht="13.5" hidden="false" customHeight="true" outlineLevel="0" collapsed="false"/>
    <row r="731" customFormat="false" ht="13.5" hidden="false" customHeight="true" outlineLevel="0" collapsed="false"/>
    <row r="732" customFormat="false" ht="13.5" hidden="false" customHeight="true" outlineLevel="0" collapsed="false"/>
    <row r="733" customFormat="false" ht="13.5" hidden="false" customHeight="true" outlineLevel="0" collapsed="false"/>
    <row r="734" customFormat="false" ht="13.5" hidden="false" customHeight="true" outlineLevel="0" collapsed="false"/>
    <row r="735" customFormat="false" ht="13.5" hidden="false" customHeight="true" outlineLevel="0" collapsed="false"/>
    <row r="736" customFormat="false" ht="13.5" hidden="false" customHeight="true" outlineLevel="0" collapsed="false"/>
    <row r="737" customFormat="false" ht="13.5" hidden="false" customHeight="true" outlineLevel="0" collapsed="false"/>
    <row r="738" customFormat="false" ht="13.5" hidden="false" customHeight="true" outlineLevel="0" collapsed="false"/>
    <row r="739" customFormat="false" ht="13.5" hidden="false" customHeight="true" outlineLevel="0" collapsed="false"/>
    <row r="740" customFormat="false" ht="13.5" hidden="false" customHeight="true" outlineLevel="0" collapsed="false"/>
    <row r="741" customFormat="false" ht="13.5" hidden="false" customHeight="true" outlineLevel="0" collapsed="false"/>
    <row r="742" customFormat="false" ht="13.5" hidden="false" customHeight="true" outlineLevel="0" collapsed="false"/>
    <row r="743" customFormat="false" ht="13.5" hidden="false" customHeight="true" outlineLevel="0" collapsed="false"/>
    <row r="744" customFormat="false" ht="13.5" hidden="false" customHeight="true" outlineLevel="0" collapsed="false"/>
    <row r="745" customFormat="false" ht="13.5" hidden="false" customHeight="true" outlineLevel="0" collapsed="false"/>
    <row r="746" customFormat="false" ht="13.5" hidden="false" customHeight="true" outlineLevel="0" collapsed="false"/>
    <row r="747" customFormat="false" ht="13.5" hidden="false" customHeight="true" outlineLevel="0" collapsed="false"/>
    <row r="748" customFormat="false" ht="13.5" hidden="false" customHeight="true" outlineLevel="0" collapsed="false"/>
    <row r="749" customFormat="false" ht="13.5" hidden="false" customHeight="true" outlineLevel="0" collapsed="false"/>
    <row r="750" customFormat="false" ht="13.5" hidden="false" customHeight="true" outlineLevel="0" collapsed="false"/>
    <row r="751" customFormat="false" ht="13.5" hidden="false" customHeight="true" outlineLevel="0" collapsed="false"/>
    <row r="752" customFormat="false" ht="13.5" hidden="false" customHeight="true" outlineLevel="0" collapsed="false"/>
    <row r="753" customFormat="false" ht="13.5" hidden="false" customHeight="true" outlineLevel="0" collapsed="false"/>
    <row r="754" customFormat="false" ht="13.5" hidden="false" customHeight="true" outlineLevel="0" collapsed="false"/>
    <row r="755" customFormat="false" ht="13.5" hidden="false" customHeight="true" outlineLevel="0" collapsed="false"/>
    <row r="756" customFormat="false" ht="13.5" hidden="false" customHeight="true" outlineLevel="0" collapsed="false"/>
    <row r="757" customFormat="false" ht="13.5" hidden="false" customHeight="true" outlineLevel="0" collapsed="false"/>
    <row r="758" customFormat="false" ht="13.5" hidden="false" customHeight="true" outlineLevel="0" collapsed="false"/>
    <row r="759" customFormat="false" ht="13.5" hidden="false" customHeight="true" outlineLevel="0" collapsed="false"/>
    <row r="760" customFormat="false" ht="13.5" hidden="false" customHeight="true" outlineLevel="0" collapsed="false"/>
    <row r="761" customFormat="false" ht="13.5" hidden="false" customHeight="true" outlineLevel="0" collapsed="false"/>
    <row r="762" customFormat="false" ht="13.5" hidden="false" customHeight="true" outlineLevel="0" collapsed="false"/>
    <row r="763" customFormat="false" ht="13.5" hidden="false" customHeight="true" outlineLevel="0" collapsed="false"/>
    <row r="764" customFormat="false" ht="13.5" hidden="false" customHeight="true" outlineLevel="0" collapsed="false"/>
    <row r="765" customFormat="false" ht="13.5" hidden="false" customHeight="true" outlineLevel="0" collapsed="false"/>
    <row r="766" customFormat="false" ht="13.5" hidden="false" customHeight="true" outlineLevel="0" collapsed="false"/>
    <row r="767" customFormat="false" ht="13.5" hidden="false" customHeight="true" outlineLevel="0" collapsed="false"/>
    <row r="768" customFormat="false" ht="13.5" hidden="false" customHeight="true" outlineLevel="0" collapsed="false"/>
    <row r="769" customFormat="false" ht="13.5" hidden="false" customHeight="true" outlineLevel="0" collapsed="false"/>
    <row r="770" customFormat="false" ht="13.5" hidden="false" customHeight="true" outlineLevel="0" collapsed="false"/>
    <row r="771" customFormat="false" ht="13.5" hidden="false" customHeight="true" outlineLevel="0" collapsed="false"/>
    <row r="772" customFormat="false" ht="13.5" hidden="false" customHeight="true" outlineLevel="0" collapsed="false"/>
    <row r="773" customFormat="false" ht="13.5" hidden="false" customHeight="true" outlineLevel="0" collapsed="false"/>
    <row r="774" customFormat="false" ht="13.5" hidden="false" customHeight="true" outlineLevel="0" collapsed="false"/>
    <row r="775" customFormat="false" ht="13.5" hidden="false" customHeight="true" outlineLevel="0" collapsed="false"/>
    <row r="776" customFormat="false" ht="13.5" hidden="false" customHeight="true" outlineLevel="0" collapsed="false"/>
    <row r="777" customFormat="false" ht="13.5" hidden="false" customHeight="true" outlineLevel="0" collapsed="false"/>
    <row r="778" customFormat="false" ht="13.5" hidden="false" customHeight="true" outlineLevel="0" collapsed="false"/>
    <row r="779" customFormat="false" ht="13.5" hidden="false" customHeight="true" outlineLevel="0" collapsed="false"/>
    <row r="780" customFormat="false" ht="13.5" hidden="false" customHeight="true" outlineLevel="0" collapsed="false"/>
    <row r="781" customFormat="false" ht="13.5" hidden="false" customHeight="true" outlineLevel="0" collapsed="false"/>
    <row r="782" customFormat="false" ht="13.5" hidden="false" customHeight="true" outlineLevel="0" collapsed="false"/>
    <row r="783" customFormat="false" ht="13.5" hidden="false" customHeight="true" outlineLevel="0" collapsed="false"/>
    <row r="784" customFormat="false" ht="13.5" hidden="false" customHeight="true" outlineLevel="0" collapsed="false"/>
    <row r="785" customFormat="false" ht="13.5" hidden="false" customHeight="true" outlineLevel="0" collapsed="false"/>
    <row r="786" customFormat="false" ht="13.5" hidden="false" customHeight="true" outlineLevel="0" collapsed="false"/>
    <row r="787" customFormat="false" ht="13.5" hidden="false" customHeight="true" outlineLevel="0" collapsed="false"/>
    <row r="788" customFormat="false" ht="13.5" hidden="false" customHeight="true" outlineLevel="0" collapsed="false"/>
    <row r="789" customFormat="false" ht="13.5" hidden="false" customHeight="true" outlineLevel="0" collapsed="false"/>
    <row r="790" customFormat="false" ht="13.5" hidden="false" customHeight="true" outlineLevel="0" collapsed="false"/>
    <row r="791" customFormat="false" ht="13.5" hidden="false" customHeight="true" outlineLevel="0" collapsed="false"/>
    <row r="792" customFormat="false" ht="13.5" hidden="false" customHeight="true" outlineLevel="0" collapsed="false"/>
    <row r="793" customFormat="false" ht="13.5" hidden="false" customHeight="true" outlineLevel="0" collapsed="false"/>
    <row r="794" customFormat="false" ht="13.5" hidden="false" customHeight="true" outlineLevel="0" collapsed="false"/>
    <row r="795" customFormat="false" ht="13.5" hidden="false" customHeight="true" outlineLevel="0" collapsed="false"/>
    <row r="796" customFormat="false" ht="13.5" hidden="false" customHeight="true" outlineLevel="0" collapsed="false"/>
    <row r="797" customFormat="false" ht="13.5" hidden="false" customHeight="true" outlineLevel="0" collapsed="false"/>
    <row r="798" customFormat="false" ht="13.5" hidden="false" customHeight="true" outlineLevel="0" collapsed="false"/>
    <row r="799" customFormat="false" ht="13.5" hidden="false" customHeight="true" outlineLevel="0" collapsed="false"/>
    <row r="800" customFormat="false" ht="13.5" hidden="false" customHeight="true" outlineLevel="0" collapsed="false"/>
    <row r="801" customFormat="false" ht="13.5" hidden="false" customHeight="true" outlineLevel="0" collapsed="false"/>
    <row r="802" customFormat="false" ht="13.5" hidden="false" customHeight="true" outlineLevel="0" collapsed="false"/>
    <row r="803" customFormat="false" ht="13.5" hidden="false" customHeight="true" outlineLevel="0" collapsed="false"/>
    <row r="804" customFormat="false" ht="13.5" hidden="false" customHeight="true" outlineLevel="0" collapsed="false"/>
    <row r="805" customFormat="false" ht="13.5" hidden="false" customHeight="true" outlineLevel="0" collapsed="false"/>
    <row r="806" customFormat="false" ht="13.5" hidden="false" customHeight="true" outlineLevel="0" collapsed="false"/>
    <row r="807" customFormat="false" ht="13.5" hidden="false" customHeight="true" outlineLevel="0" collapsed="false"/>
    <row r="808" customFormat="false" ht="13.5" hidden="false" customHeight="true" outlineLevel="0" collapsed="false"/>
    <row r="809" customFormat="false" ht="13.5" hidden="false" customHeight="true" outlineLevel="0" collapsed="false"/>
    <row r="810" customFormat="false" ht="13.5" hidden="false" customHeight="true" outlineLevel="0" collapsed="false"/>
    <row r="811" customFormat="false" ht="13.5" hidden="false" customHeight="true" outlineLevel="0" collapsed="false"/>
    <row r="812" customFormat="false" ht="13.5" hidden="false" customHeight="true" outlineLevel="0" collapsed="false"/>
    <row r="813" customFormat="false" ht="13.5" hidden="false" customHeight="true" outlineLevel="0" collapsed="false"/>
    <row r="814" customFormat="false" ht="13.5" hidden="false" customHeight="true" outlineLevel="0" collapsed="false"/>
    <row r="815" customFormat="false" ht="13.5" hidden="false" customHeight="true" outlineLevel="0" collapsed="false"/>
    <row r="816" customFormat="false" ht="13.5" hidden="false" customHeight="true" outlineLevel="0" collapsed="false"/>
    <row r="817" customFormat="false" ht="13.5" hidden="false" customHeight="true" outlineLevel="0" collapsed="false"/>
    <row r="818" customFormat="false" ht="13.5" hidden="false" customHeight="true" outlineLevel="0" collapsed="false"/>
    <row r="819" customFormat="false" ht="13.5" hidden="false" customHeight="true" outlineLevel="0" collapsed="false"/>
    <row r="820" customFormat="false" ht="13.5" hidden="false" customHeight="true" outlineLevel="0" collapsed="false"/>
    <row r="821" customFormat="false" ht="13.5" hidden="false" customHeight="true" outlineLevel="0" collapsed="false"/>
    <row r="822" customFormat="false" ht="13.5" hidden="false" customHeight="true" outlineLevel="0" collapsed="false"/>
    <row r="823" customFormat="false" ht="13.5" hidden="false" customHeight="true" outlineLevel="0" collapsed="false"/>
    <row r="824" customFormat="false" ht="13.5" hidden="false" customHeight="true" outlineLevel="0" collapsed="false"/>
    <row r="825" customFormat="false" ht="13.5" hidden="false" customHeight="true" outlineLevel="0" collapsed="false"/>
    <row r="826" customFormat="false" ht="13.5" hidden="false" customHeight="true" outlineLevel="0" collapsed="false"/>
    <row r="827" customFormat="false" ht="13.5" hidden="false" customHeight="true" outlineLevel="0" collapsed="false"/>
    <row r="828" customFormat="false" ht="13.5" hidden="false" customHeight="true" outlineLevel="0" collapsed="false"/>
    <row r="829" customFormat="false" ht="13.5" hidden="false" customHeight="true" outlineLevel="0" collapsed="false"/>
    <row r="830" customFormat="false" ht="13.5" hidden="false" customHeight="true" outlineLevel="0" collapsed="false"/>
    <row r="831" customFormat="false" ht="13.5" hidden="false" customHeight="true" outlineLevel="0" collapsed="false"/>
    <row r="832" customFormat="false" ht="13.5" hidden="false" customHeight="true" outlineLevel="0" collapsed="false"/>
    <row r="833" customFormat="false" ht="13.5" hidden="false" customHeight="true" outlineLevel="0" collapsed="false"/>
    <row r="834" customFormat="false" ht="13.5" hidden="false" customHeight="true" outlineLevel="0" collapsed="false"/>
    <row r="835" customFormat="false" ht="13.5" hidden="false" customHeight="true" outlineLevel="0" collapsed="false"/>
    <row r="836" customFormat="false" ht="13.5" hidden="false" customHeight="true" outlineLevel="0" collapsed="false"/>
    <row r="837" customFormat="false" ht="13.5" hidden="false" customHeight="true" outlineLevel="0" collapsed="false"/>
    <row r="838" customFormat="false" ht="13.5" hidden="false" customHeight="true" outlineLevel="0" collapsed="false"/>
    <row r="839" customFormat="false" ht="13.5" hidden="false" customHeight="true" outlineLevel="0" collapsed="false"/>
    <row r="840" customFormat="false" ht="13.5" hidden="false" customHeight="true" outlineLevel="0" collapsed="false"/>
    <row r="841" customFormat="false" ht="13.5" hidden="false" customHeight="true" outlineLevel="0" collapsed="false"/>
    <row r="842" customFormat="false" ht="13.5" hidden="false" customHeight="true" outlineLevel="0" collapsed="false"/>
    <row r="843" customFormat="false" ht="13.5" hidden="false" customHeight="true" outlineLevel="0" collapsed="false"/>
    <row r="844" customFormat="false" ht="13.5" hidden="false" customHeight="true" outlineLevel="0" collapsed="false"/>
    <row r="845" customFormat="false" ht="13.5" hidden="false" customHeight="true" outlineLevel="0" collapsed="false"/>
    <row r="846" customFormat="false" ht="13.5" hidden="false" customHeight="true" outlineLevel="0" collapsed="false"/>
    <row r="847" customFormat="false" ht="13.5" hidden="false" customHeight="true" outlineLevel="0" collapsed="false"/>
    <row r="848" customFormat="false" ht="13.5" hidden="false" customHeight="true" outlineLevel="0" collapsed="false"/>
    <row r="849" customFormat="false" ht="13.5" hidden="false" customHeight="true" outlineLevel="0" collapsed="false"/>
    <row r="850" customFormat="false" ht="13.5" hidden="false" customHeight="true" outlineLevel="0" collapsed="false"/>
    <row r="851" customFormat="false" ht="13.5" hidden="false" customHeight="true" outlineLevel="0" collapsed="false"/>
    <row r="852" customFormat="false" ht="13.5" hidden="false" customHeight="true" outlineLevel="0" collapsed="false"/>
    <row r="853" customFormat="false" ht="13.5" hidden="false" customHeight="true" outlineLevel="0" collapsed="false"/>
    <row r="854" customFormat="false" ht="13.5" hidden="false" customHeight="true" outlineLevel="0" collapsed="false"/>
    <row r="855" customFormat="false" ht="13.5" hidden="false" customHeight="true" outlineLevel="0" collapsed="false"/>
    <row r="856" customFormat="false" ht="13.5" hidden="false" customHeight="true" outlineLevel="0" collapsed="false"/>
    <row r="857" customFormat="false" ht="13.5" hidden="false" customHeight="true" outlineLevel="0" collapsed="false"/>
    <row r="858" customFormat="false" ht="13.5" hidden="false" customHeight="true" outlineLevel="0" collapsed="false"/>
    <row r="859" customFormat="false" ht="13.5" hidden="false" customHeight="true" outlineLevel="0" collapsed="false"/>
    <row r="860" customFormat="false" ht="13.5" hidden="false" customHeight="true" outlineLevel="0" collapsed="false"/>
    <row r="861" customFormat="false" ht="13.5" hidden="false" customHeight="true" outlineLevel="0" collapsed="false"/>
    <row r="862" customFormat="false" ht="13.5" hidden="false" customHeight="true" outlineLevel="0" collapsed="false"/>
    <row r="863" customFormat="false" ht="13.5" hidden="false" customHeight="true" outlineLevel="0" collapsed="false"/>
    <row r="864" customFormat="false" ht="13.5" hidden="false" customHeight="true" outlineLevel="0" collapsed="false"/>
    <row r="865" customFormat="false" ht="13.5" hidden="false" customHeight="true" outlineLevel="0" collapsed="false"/>
    <row r="866" customFormat="false" ht="13.5" hidden="false" customHeight="true" outlineLevel="0" collapsed="false"/>
    <row r="867" customFormat="false" ht="13.5" hidden="false" customHeight="true" outlineLevel="0" collapsed="false"/>
    <row r="868" customFormat="false" ht="13.5" hidden="false" customHeight="true" outlineLevel="0" collapsed="false"/>
    <row r="869" customFormat="false" ht="13.5" hidden="false" customHeight="true" outlineLevel="0" collapsed="false"/>
    <row r="870" customFormat="false" ht="13.5" hidden="false" customHeight="true" outlineLevel="0" collapsed="false"/>
    <row r="871" customFormat="false" ht="13.5" hidden="false" customHeight="true" outlineLevel="0" collapsed="false"/>
    <row r="872" customFormat="false" ht="13.5" hidden="false" customHeight="true" outlineLevel="0" collapsed="false"/>
    <row r="873" customFormat="false" ht="13.5" hidden="false" customHeight="true" outlineLevel="0" collapsed="false"/>
    <row r="874" customFormat="false" ht="13.5" hidden="false" customHeight="true" outlineLevel="0" collapsed="false"/>
    <row r="875" customFormat="false" ht="13.5" hidden="false" customHeight="true" outlineLevel="0" collapsed="false"/>
    <row r="876" customFormat="false" ht="13.5" hidden="false" customHeight="true" outlineLevel="0" collapsed="false"/>
    <row r="877" customFormat="false" ht="13.5" hidden="false" customHeight="true" outlineLevel="0" collapsed="false"/>
    <row r="878" customFormat="false" ht="13.5" hidden="false" customHeight="true" outlineLevel="0" collapsed="false"/>
    <row r="879" customFormat="false" ht="13.5" hidden="false" customHeight="true" outlineLevel="0" collapsed="false"/>
    <row r="880" customFormat="false" ht="13.5" hidden="false" customHeight="true" outlineLevel="0" collapsed="false"/>
    <row r="881" customFormat="false" ht="13.5" hidden="false" customHeight="true" outlineLevel="0" collapsed="false"/>
    <row r="882" customFormat="false" ht="13.5" hidden="false" customHeight="true" outlineLevel="0" collapsed="false"/>
    <row r="883" customFormat="false" ht="13.5" hidden="false" customHeight="true" outlineLevel="0" collapsed="false"/>
    <row r="884" customFormat="false" ht="13.5" hidden="false" customHeight="true" outlineLevel="0" collapsed="false"/>
    <row r="885" customFormat="false" ht="13.5" hidden="false" customHeight="true" outlineLevel="0" collapsed="false"/>
    <row r="886" customFormat="false" ht="13.5" hidden="false" customHeight="true" outlineLevel="0" collapsed="false"/>
    <row r="887" customFormat="false" ht="13.5" hidden="false" customHeight="true" outlineLevel="0" collapsed="false"/>
    <row r="888" customFormat="false" ht="13.5" hidden="false" customHeight="true" outlineLevel="0" collapsed="false"/>
    <row r="889" customFormat="false" ht="13.5" hidden="false" customHeight="true" outlineLevel="0" collapsed="false"/>
    <row r="890" customFormat="false" ht="13.5" hidden="false" customHeight="true" outlineLevel="0" collapsed="false"/>
    <row r="891" customFormat="false" ht="13.5" hidden="false" customHeight="true" outlineLevel="0" collapsed="false"/>
    <row r="892" customFormat="false" ht="13.5" hidden="false" customHeight="true" outlineLevel="0" collapsed="false"/>
    <row r="893" customFormat="false" ht="13.5" hidden="false" customHeight="true" outlineLevel="0" collapsed="false"/>
    <row r="894" customFormat="false" ht="13.5" hidden="false" customHeight="true" outlineLevel="0" collapsed="false"/>
    <row r="895" customFormat="false" ht="13.5" hidden="false" customHeight="true" outlineLevel="0" collapsed="false"/>
    <row r="896" customFormat="false" ht="13.5" hidden="false" customHeight="true" outlineLevel="0" collapsed="false"/>
    <row r="897" customFormat="false" ht="13.5" hidden="false" customHeight="true" outlineLevel="0" collapsed="false"/>
    <row r="898" customFormat="false" ht="13.5" hidden="false" customHeight="true" outlineLevel="0" collapsed="false"/>
    <row r="899" customFormat="false" ht="13.5" hidden="false" customHeight="true" outlineLevel="0" collapsed="false"/>
    <row r="900" customFormat="false" ht="13.5" hidden="false" customHeight="true" outlineLevel="0" collapsed="false"/>
    <row r="901" customFormat="false" ht="13.5" hidden="false" customHeight="true" outlineLevel="0" collapsed="false"/>
    <row r="902" customFormat="false" ht="13.5" hidden="false" customHeight="true" outlineLevel="0" collapsed="false"/>
    <row r="903" customFormat="false" ht="13.5" hidden="false" customHeight="true" outlineLevel="0" collapsed="false"/>
    <row r="904" customFormat="false" ht="13.5" hidden="false" customHeight="true" outlineLevel="0" collapsed="false"/>
    <row r="905" customFormat="false" ht="13.5" hidden="false" customHeight="true" outlineLevel="0" collapsed="false"/>
    <row r="906" customFormat="false" ht="13.5" hidden="false" customHeight="true" outlineLevel="0" collapsed="false"/>
    <row r="907" customFormat="false" ht="13.5" hidden="false" customHeight="true" outlineLevel="0" collapsed="false"/>
    <row r="908" customFormat="false" ht="13.5" hidden="false" customHeight="true" outlineLevel="0" collapsed="false"/>
    <row r="909" customFormat="false" ht="13.5" hidden="false" customHeight="true" outlineLevel="0" collapsed="false"/>
    <row r="910" customFormat="false" ht="13.5" hidden="false" customHeight="true" outlineLevel="0" collapsed="false"/>
    <row r="911" customFormat="false" ht="13.5" hidden="false" customHeight="true" outlineLevel="0" collapsed="false"/>
    <row r="912" customFormat="false" ht="13.5" hidden="false" customHeight="true" outlineLevel="0" collapsed="false"/>
    <row r="913" customFormat="false" ht="13.5" hidden="false" customHeight="true" outlineLevel="0" collapsed="false"/>
    <row r="914" customFormat="false" ht="13.5" hidden="false" customHeight="true" outlineLevel="0" collapsed="false"/>
    <row r="915" customFormat="false" ht="13.5" hidden="false" customHeight="true" outlineLevel="0" collapsed="false"/>
    <row r="916" customFormat="false" ht="13.5" hidden="false" customHeight="true" outlineLevel="0" collapsed="false"/>
    <row r="917" customFormat="false" ht="13.5" hidden="false" customHeight="true" outlineLevel="0" collapsed="false"/>
    <row r="918" customFormat="false" ht="13.5" hidden="false" customHeight="true" outlineLevel="0" collapsed="false"/>
    <row r="919" customFormat="false" ht="13.5" hidden="false" customHeight="true" outlineLevel="0" collapsed="false"/>
    <row r="920" customFormat="false" ht="13.5" hidden="false" customHeight="true" outlineLevel="0" collapsed="false"/>
    <row r="921" customFormat="false" ht="13.5" hidden="false" customHeight="true" outlineLevel="0" collapsed="false"/>
    <row r="922" customFormat="false" ht="13.5" hidden="false" customHeight="true" outlineLevel="0" collapsed="false"/>
    <row r="923" customFormat="false" ht="13.5" hidden="false" customHeight="true" outlineLevel="0" collapsed="false"/>
    <row r="924" customFormat="false" ht="13.5" hidden="false" customHeight="true" outlineLevel="0" collapsed="false"/>
    <row r="925" customFormat="false" ht="13.5" hidden="false" customHeight="true" outlineLevel="0" collapsed="false"/>
    <row r="926" customFormat="false" ht="13.5" hidden="false" customHeight="true" outlineLevel="0" collapsed="false"/>
    <row r="927" customFormat="false" ht="13.5" hidden="false" customHeight="true" outlineLevel="0" collapsed="false"/>
    <row r="928" customFormat="false" ht="13.5" hidden="false" customHeight="true" outlineLevel="0" collapsed="false"/>
    <row r="929" customFormat="false" ht="13.5" hidden="false" customHeight="true" outlineLevel="0" collapsed="false"/>
    <row r="930" customFormat="false" ht="13.5" hidden="false" customHeight="true" outlineLevel="0" collapsed="false"/>
    <row r="931" customFormat="false" ht="13.5" hidden="false" customHeight="true" outlineLevel="0" collapsed="false"/>
    <row r="932" customFormat="false" ht="13.5" hidden="false" customHeight="true" outlineLevel="0" collapsed="false"/>
    <row r="933" customFormat="false" ht="13.5" hidden="false" customHeight="true" outlineLevel="0" collapsed="false"/>
    <row r="934" customFormat="false" ht="13.5" hidden="false" customHeight="true" outlineLevel="0" collapsed="false"/>
    <row r="935" customFormat="false" ht="13.5" hidden="false" customHeight="true" outlineLevel="0" collapsed="false"/>
    <row r="936" customFormat="false" ht="13.5" hidden="false" customHeight="true" outlineLevel="0" collapsed="false"/>
    <row r="937" customFormat="false" ht="13.5" hidden="false" customHeight="true" outlineLevel="0" collapsed="false"/>
    <row r="938" customFormat="false" ht="13.5" hidden="false" customHeight="true" outlineLevel="0" collapsed="false"/>
    <row r="939" customFormat="false" ht="13.5" hidden="false" customHeight="true" outlineLevel="0" collapsed="false"/>
    <row r="940" customFormat="false" ht="13.5" hidden="false" customHeight="true" outlineLevel="0" collapsed="false"/>
    <row r="941" customFormat="false" ht="13.5" hidden="false" customHeight="true" outlineLevel="0" collapsed="false"/>
    <row r="942" customFormat="false" ht="13.5" hidden="false" customHeight="true" outlineLevel="0" collapsed="false"/>
    <row r="943" customFormat="false" ht="13.5" hidden="false" customHeight="true" outlineLevel="0" collapsed="false"/>
    <row r="944" customFormat="false" ht="13.5" hidden="false" customHeight="true" outlineLevel="0" collapsed="false"/>
    <row r="945" customFormat="false" ht="13.5" hidden="false" customHeight="true" outlineLevel="0" collapsed="false"/>
    <row r="946" customFormat="false" ht="13.5" hidden="false" customHeight="true" outlineLevel="0" collapsed="false"/>
    <row r="947" customFormat="false" ht="13.5" hidden="false" customHeight="true" outlineLevel="0" collapsed="false"/>
    <row r="948" customFormat="false" ht="13.5" hidden="false" customHeight="true" outlineLevel="0" collapsed="false"/>
    <row r="949" customFormat="false" ht="13.5" hidden="false" customHeight="true" outlineLevel="0" collapsed="false"/>
    <row r="950" customFormat="false" ht="13.5" hidden="false" customHeight="true" outlineLevel="0" collapsed="false"/>
    <row r="951" customFormat="false" ht="13.5" hidden="false" customHeight="true" outlineLevel="0" collapsed="false"/>
    <row r="952" customFormat="false" ht="13.5" hidden="false" customHeight="true" outlineLevel="0" collapsed="false"/>
    <row r="953" customFormat="false" ht="13.5" hidden="false" customHeight="true" outlineLevel="0" collapsed="false"/>
    <row r="954" customFormat="false" ht="13.5" hidden="false" customHeight="true" outlineLevel="0" collapsed="false"/>
    <row r="955" customFormat="false" ht="13.5" hidden="false" customHeight="true" outlineLevel="0" collapsed="false"/>
    <row r="956" customFormat="false" ht="13.5" hidden="false" customHeight="true" outlineLevel="0" collapsed="false"/>
    <row r="957" customFormat="false" ht="13.5" hidden="false" customHeight="true" outlineLevel="0" collapsed="false"/>
    <row r="958" customFormat="false" ht="13.5" hidden="false" customHeight="true" outlineLevel="0" collapsed="false"/>
    <row r="959" customFormat="false" ht="13.5" hidden="false" customHeight="true" outlineLevel="0" collapsed="false"/>
    <row r="960" customFormat="false" ht="13.5" hidden="false" customHeight="true" outlineLevel="0" collapsed="false"/>
    <row r="961" customFormat="false" ht="13.5" hidden="false" customHeight="true" outlineLevel="0" collapsed="false"/>
    <row r="962" customFormat="false" ht="13.5" hidden="false" customHeight="true" outlineLevel="0" collapsed="false"/>
    <row r="963" customFormat="false" ht="13.5" hidden="false" customHeight="true" outlineLevel="0" collapsed="false"/>
    <row r="964" customFormat="false" ht="13.5" hidden="false" customHeight="true" outlineLevel="0" collapsed="false"/>
    <row r="965" customFormat="false" ht="13.5" hidden="false" customHeight="true" outlineLevel="0" collapsed="false"/>
    <row r="966" customFormat="false" ht="13.5" hidden="false" customHeight="true" outlineLevel="0" collapsed="false"/>
    <row r="967" customFormat="false" ht="13.5" hidden="false" customHeight="true" outlineLevel="0" collapsed="false"/>
    <row r="968" customFormat="false" ht="13.5" hidden="false" customHeight="true" outlineLevel="0" collapsed="false"/>
    <row r="969" customFormat="false" ht="13.5" hidden="false" customHeight="true" outlineLevel="0" collapsed="false"/>
    <row r="970" customFormat="false" ht="13.5" hidden="false" customHeight="true" outlineLevel="0" collapsed="false"/>
    <row r="971" customFormat="false" ht="13.5" hidden="false" customHeight="true" outlineLevel="0" collapsed="false"/>
    <row r="972" customFormat="false" ht="13.5" hidden="false" customHeight="true" outlineLevel="0" collapsed="false"/>
    <row r="973" customFormat="false" ht="13.5" hidden="false" customHeight="true" outlineLevel="0" collapsed="false"/>
    <row r="974" customFormat="false" ht="13.5" hidden="false" customHeight="true" outlineLevel="0" collapsed="false"/>
    <row r="975" customFormat="false" ht="13.5" hidden="false" customHeight="true" outlineLevel="0" collapsed="false"/>
    <row r="976" customFormat="false" ht="13.5" hidden="false" customHeight="true" outlineLevel="0" collapsed="false"/>
    <row r="977" customFormat="false" ht="13.5" hidden="false" customHeight="true" outlineLevel="0" collapsed="false"/>
    <row r="978" customFormat="false" ht="13.5" hidden="false" customHeight="true" outlineLevel="0" collapsed="false"/>
    <row r="979" customFormat="false" ht="13.5" hidden="false" customHeight="true" outlineLevel="0" collapsed="false"/>
    <row r="980" customFormat="false" ht="13.5" hidden="false" customHeight="true" outlineLevel="0" collapsed="false"/>
    <row r="981" customFormat="false" ht="13.5" hidden="false" customHeight="true" outlineLevel="0" collapsed="false"/>
    <row r="982" customFormat="false" ht="13.5" hidden="false" customHeight="true" outlineLevel="0" collapsed="false"/>
    <row r="983" customFormat="false" ht="13.5" hidden="false" customHeight="true" outlineLevel="0" collapsed="false"/>
    <row r="984" customFormat="false" ht="13.5" hidden="false" customHeight="true" outlineLevel="0" collapsed="false"/>
    <row r="985" customFormat="false" ht="13.5" hidden="false" customHeight="true" outlineLevel="0" collapsed="false"/>
    <row r="986" customFormat="false" ht="13.5" hidden="false" customHeight="true" outlineLevel="0" collapsed="false"/>
    <row r="987" customFormat="false" ht="13.5" hidden="false" customHeight="true" outlineLevel="0" collapsed="false"/>
    <row r="988" customFormat="false" ht="13.5" hidden="false" customHeight="true" outlineLevel="0" collapsed="false"/>
    <row r="989" customFormat="false" ht="13.5" hidden="false" customHeight="true" outlineLevel="0" collapsed="false"/>
    <row r="990" customFormat="false" ht="13.5" hidden="false" customHeight="true" outlineLevel="0" collapsed="false"/>
    <row r="991" customFormat="false" ht="13.5" hidden="false" customHeight="true" outlineLevel="0" collapsed="false"/>
    <row r="992" customFormat="false" ht="13.5" hidden="false" customHeight="true" outlineLevel="0" collapsed="false"/>
    <row r="993" customFormat="false" ht="13.5" hidden="false" customHeight="true" outlineLevel="0" collapsed="false"/>
    <row r="994" customFormat="false" ht="13.5" hidden="false" customHeight="true" outlineLevel="0" collapsed="false"/>
    <row r="995" customFormat="false" ht="13.5" hidden="false" customHeight="true" outlineLevel="0" collapsed="false"/>
    <row r="996" customFormat="false" ht="13.5" hidden="false" customHeight="true" outlineLevel="0" collapsed="false"/>
    <row r="997" customFormat="false" ht="13.5" hidden="false" customHeight="true" outlineLevel="0" collapsed="false"/>
    <row r="998" customFormat="false" ht="13.5" hidden="false" customHeight="true" outlineLevel="0" collapsed="false"/>
    <row r="999" customFormat="false" ht="13.5" hidden="false" customHeight="true" outlineLevel="0" collapsed="false"/>
    <row r="1000" customFormat="false" ht="13.5" hidden="false" customHeight="true" outlineLevel="0" collapsed="false"/>
  </sheetData>
  <mergeCells count="8">
    <mergeCell ref="B2:AG2"/>
    <mergeCell ref="B3:K3"/>
    <mergeCell ref="B4:B5"/>
    <mergeCell ref="C4:C5"/>
    <mergeCell ref="D4:D5"/>
    <mergeCell ref="B41:C41"/>
    <mergeCell ref="B42:C42"/>
    <mergeCell ref="B43:C4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R1000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Z17" activeCellId="0" sqref="Z17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7.11"/>
    <col collapsed="false" customWidth="true" hidden="false" outlineLevel="0" max="3" min="3" style="0" width="73.11"/>
    <col collapsed="false" customWidth="true" hidden="false" outlineLevel="0" max="4" min="4" style="0" width="16.89"/>
    <col collapsed="false" customWidth="true" hidden="false" outlineLevel="0" max="43" min="5" style="0" width="12.97"/>
  </cols>
  <sheetData>
    <row r="1" customFormat="false" ht="14.25" hidden="false" customHeight="true" outlineLevel="0" collapsed="false"/>
    <row r="2" customFormat="false" ht="27" hidden="false" customHeight="true" outlineLevel="0" collapsed="false">
      <c r="B2" s="49" t="s">
        <v>72</v>
      </c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</row>
    <row r="3" customFormat="false" ht="13.5" hidden="false" customHeight="true" outlineLevel="0" collapsed="false">
      <c r="B3" s="2"/>
      <c r="C3" s="2"/>
      <c r="D3" s="2"/>
      <c r="E3" s="2"/>
      <c r="F3" s="2"/>
      <c r="G3" s="2"/>
      <c r="H3" s="2"/>
      <c r="I3" s="2"/>
      <c r="J3" s="2"/>
      <c r="K3" s="2"/>
      <c r="AG3" s="50"/>
      <c r="AH3" s="51"/>
    </row>
    <row r="4" customFormat="false" ht="15" hidden="false" customHeight="true" outlineLevel="0" collapsed="false">
      <c r="B4" s="4" t="s">
        <v>1</v>
      </c>
      <c r="C4" s="5" t="s">
        <v>2</v>
      </c>
      <c r="D4" s="6" t="s">
        <v>3</v>
      </c>
      <c r="E4" s="7" t="n">
        <v>45957</v>
      </c>
      <c r="F4" s="8" t="n">
        <v>45958</v>
      </c>
      <c r="G4" s="8" t="n">
        <v>45959</v>
      </c>
      <c r="H4" s="8" t="n">
        <v>45960</v>
      </c>
      <c r="I4" s="8" t="n">
        <v>45961</v>
      </c>
      <c r="J4" s="8" t="n">
        <v>45962</v>
      </c>
      <c r="K4" s="8" t="n">
        <v>45963</v>
      </c>
      <c r="L4" s="8" t="n">
        <v>45964</v>
      </c>
      <c r="M4" s="8" t="n">
        <v>45965</v>
      </c>
      <c r="N4" s="8" t="n">
        <v>45966</v>
      </c>
      <c r="O4" s="8" t="n">
        <v>45967</v>
      </c>
      <c r="P4" s="8" t="n">
        <v>45968</v>
      </c>
      <c r="Q4" s="8" t="n">
        <v>45969</v>
      </c>
      <c r="R4" s="8" t="n">
        <v>45970</v>
      </c>
      <c r="S4" s="8" t="n">
        <v>45971</v>
      </c>
      <c r="T4" s="8" t="n">
        <v>45972</v>
      </c>
      <c r="U4" s="8" t="n">
        <v>45973</v>
      </c>
      <c r="V4" s="8" t="n">
        <v>45974</v>
      </c>
      <c r="W4" s="8" t="n">
        <v>45975</v>
      </c>
      <c r="X4" s="8" t="n">
        <v>45976</v>
      </c>
      <c r="Y4" s="8" t="n">
        <v>45977</v>
      </c>
      <c r="Z4" s="8" t="n">
        <v>45978</v>
      </c>
      <c r="AA4" s="8" t="n">
        <v>45979</v>
      </c>
      <c r="AB4" s="8" t="n">
        <v>45980</v>
      </c>
      <c r="AC4" s="8" t="n">
        <v>45981</v>
      </c>
      <c r="AD4" s="8" t="n">
        <v>45982</v>
      </c>
      <c r="AE4" s="8" t="n">
        <v>45983</v>
      </c>
      <c r="AF4" s="8" t="n">
        <v>45984</v>
      </c>
      <c r="AG4" s="8" t="n">
        <v>45985</v>
      </c>
      <c r="AH4" s="8" t="n">
        <v>45986</v>
      </c>
      <c r="AI4" s="8" t="n">
        <v>45987</v>
      </c>
      <c r="AJ4" s="8" t="n">
        <v>45988</v>
      </c>
      <c r="AK4" s="8" t="n">
        <v>45989</v>
      </c>
      <c r="AL4" s="8" t="n">
        <v>45990</v>
      </c>
      <c r="AM4" s="8" t="n">
        <v>45991</v>
      </c>
      <c r="AN4" s="8" t="n">
        <v>45992</v>
      </c>
      <c r="AO4" s="8" t="n">
        <v>45993</v>
      </c>
      <c r="AP4" s="8" t="n">
        <v>45994</v>
      </c>
    </row>
    <row r="5" customFormat="false" ht="13.5" hidden="false" customHeight="true" outlineLevel="0" collapsed="false">
      <c r="B5" s="4"/>
      <c r="C5" s="5"/>
      <c r="D5" s="6"/>
      <c r="E5" s="9" t="s">
        <v>4</v>
      </c>
      <c r="F5" s="10" t="s">
        <v>5</v>
      </c>
      <c r="G5" s="10" t="s">
        <v>6</v>
      </c>
      <c r="H5" s="10" t="s">
        <v>7</v>
      </c>
      <c r="I5" s="10" t="s">
        <v>8</v>
      </c>
      <c r="J5" s="9" t="s">
        <v>9</v>
      </c>
      <c r="K5" s="10" t="s">
        <v>10</v>
      </c>
      <c r="L5" s="10" t="s">
        <v>11</v>
      </c>
      <c r="M5" s="10" t="s">
        <v>12</v>
      </c>
      <c r="N5" s="10" t="s">
        <v>13</v>
      </c>
      <c r="O5" s="9" t="s">
        <v>14</v>
      </c>
      <c r="P5" s="10" t="s">
        <v>15</v>
      </c>
      <c r="Q5" s="10" t="s">
        <v>16</v>
      </c>
      <c r="R5" s="10" t="s">
        <v>17</v>
      </c>
      <c r="S5" s="10" t="s">
        <v>18</v>
      </c>
      <c r="T5" s="9" t="s">
        <v>19</v>
      </c>
      <c r="U5" s="10" t="s">
        <v>20</v>
      </c>
      <c r="V5" s="10" t="s">
        <v>21</v>
      </c>
      <c r="W5" s="10" t="s">
        <v>22</v>
      </c>
      <c r="X5" s="10" t="s">
        <v>23</v>
      </c>
      <c r="Y5" s="9" t="s">
        <v>24</v>
      </c>
      <c r="Z5" s="10" t="s">
        <v>25</v>
      </c>
      <c r="AA5" s="10" t="s">
        <v>26</v>
      </c>
      <c r="AB5" s="10" t="s">
        <v>27</v>
      </c>
      <c r="AC5" s="10" t="s">
        <v>28</v>
      </c>
      <c r="AD5" s="9" t="s">
        <v>29</v>
      </c>
      <c r="AE5" s="10" t="s">
        <v>30</v>
      </c>
      <c r="AF5" s="10" t="s">
        <v>31</v>
      </c>
      <c r="AG5" s="10" t="s">
        <v>32</v>
      </c>
      <c r="AH5" s="10" t="s">
        <v>73</v>
      </c>
      <c r="AI5" s="9" t="s">
        <v>74</v>
      </c>
      <c r="AJ5" s="10" t="s">
        <v>75</v>
      </c>
      <c r="AK5" s="10" t="s">
        <v>76</v>
      </c>
      <c r="AL5" s="10" t="s">
        <v>77</v>
      </c>
      <c r="AM5" s="10" t="s">
        <v>78</v>
      </c>
      <c r="AN5" s="9" t="s">
        <v>79</v>
      </c>
      <c r="AO5" s="10" t="s">
        <v>80</v>
      </c>
      <c r="AP5" s="10" t="s">
        <v>81</v>
      </c>
      <c r="AR5" s="12" t="s">
        <v>33</v>
      </c>
    </row>
    <row r="6" customFormat="false" ht="13.5" hidden="false" customHeight="true" outlineLevel="0" collapsed="false">
      <c r="B6" s="13" t="n">
        <v>1</v>
      </c>
      <c r="C6" s="14" t="s">
        <v>82</v>
      </c>
      <c r="D6" s="15" t="n">
        <v>5</v>
      </c>
      <c r="E6" s="16" t="n">
        <v>2</v>
      </c>
      <c r="F6" s="17" t="n">
        <v>2</v>
      </c>
      <c r="G6" s="17" t="n">
        <v>1</v>
      </c>
      <c r="H6" s="17"/>
      <c r="I6" s="17"/>
      <c r="J6" s="17"/>
      <c r="K6" s="17"/>
      <c r="L6" s="17"/>
      <c r="M6" s="17"/>
      <c r="N6" s="17" t="n">
        <v>1</v>
      </c>
      <c r="O6" s="17" t="n">
        <v>2</v>
      </c>
      <c r="P6" s="17" t="n">
        <v>2</v>
      </c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8"/>
    </row>
    <row r="7" customFormat="false" ht="13.5" hidden="false" customHeight="true" outlineLevel="0" collapsed="false">
      <c r="B7" s="19" t="n">
        <v>2</v>
      </c>
      <c r="C7" s="20" t="s">
        <v>83</v>
      </c>
      <c r="D7" s="15" t="n">
        <v>2</v>
      </c>
      <c r="E7" s="21" t="n">
        <v>1</v>
      </c>
      <c r="F7" s="22" t="n">
        <v>1</v>
      </c>
      <c r="G7" s="22"/>
      <c r="H7" s="22"/>
      <c r="I7" s="22"/>
      <c r="J7" s="22"/>
      <c r="K7" s="22"/>
      <c r="L7" s="22"/>
      <c r="M7" s="22"/>
      <c r="N7" s="22"/>
      <c r="O7" s="22"/>
      <c r="P7" s="22"/>
      <c r="Q7" s="22" t="n">
        <v>2</v>
      </c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3"/>
      <c r="AR7" s="12" t="s">
        <v>36</v>
      </c>
    </row>
    <row r="8" customFormat="false" ht="13.5" hidden="false" customHeight="true" outlineLevel="0" collapsed="false">
      <c r="B8" s="19" t="n">
        <v>3</v>
      </c>
      <c r="C8" s="20" t="s">
        <v>84</v>
      </c>
      <c r="D8" s="15" t="n">
        <v>5</v>
      </c>
      <c r="E8" s="21"/>
      <c r="F8" s="22"/>
      <c r="G8" s="22"/>
      <c r="H8" s="22"/>
      <c r="I8" s="22"/>
      <c r="J8" s="22"/>
      <c r="K8" s="22"/>
      <c r="L8" s="22"/>
      <c r="M8" s="22"/>
      <c r="N8" s="22"/>
      <c r="O8" s="22"/>
      <c r="P8" s="22" t="n">
        <v>2</v>
      </c>
      <c r="Q8" s="22" t="n">
        <v>2</v>
      </c>
      <c r="R8" s="22" t="n">
        <v>1</v>
      </c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3"/>
    </row>
    <row r="9" customFormat="false" ht="13.5" hidden="false" customHeight="true" outlineLevel="0" collapsed="false">
      <c r="B9" s="19" t="n">
        <v>4</v>
      </c>
      <c r="C9" s="52" t="s">
        <v>85</v>
      </c>
      <c r="D9" s="15" t="n">
        <v>8</v>
      </c>
      <c r="E9" s="21"/>
      <c r="F9" s="22"/>
      <c r="G9" s="22"/>
      <c r="H9" s="22"/>
      <c r="I9" s="22"/>
      <c r="J9" s="22"/>
      <c r="K9" s="22"/>
      <c r="L9" s="22"/>
      <c r="M9" s="22"/>
      <c r="N9" s="22"/>
      <c r="O9" s="22"/>
      <c r="P9" s="22" t="n">
        <v>2</v>
      </c>
      <c r="Q9" s="22" t="n">
        <v>2</v>
      </c>
      <c r="R9" s="22" t="n">
        <v>2</v>
      </c>
      <c r="S9" s="22" t="n">
        <v>1</v>
      </c>
      <c r="T9" s="22" t="n">
        <v>1</v>
      </c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3"/>
    </row>
    <row r="10" customFormat="false" ht="13.5" hidden="false" customHeight="true" outlineLevel="0" collapsed="false">
      <c r="B10" s="19" t="n">
        <v>5</v>
      </c>
      <c r="C10" s="52" t="s">
        <v>86</v>
      </c>
      <c r="D10" s="15" t="n">
        <v>6</v>
      </c>
      <c r="E10" s="21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 t="n">
        <v>2</v>
      </c>
      <c r="V10" s="22" t="n">
        <v>2</v>
      </c>
      <c r="W10" s="22" t="n">
        <v>1</v>
      </c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3"/>
    </row>
    <row r="11" customFormat="false" ht="13.5" hidden="false" customHeight="true" outlineLevel="0" collapsed="false">
      <c r="B11" s="24" t="n">
        <v>6</v>
      </c>
      <c r="C11" s="25" t="s">
        <v>87</v>
      </c>
      <c r="D11" s="26" t="n">
        <v>4</v>
      </c>
      <c r="E11" s="27"/>
      <c r="F11" s="22"/>
      <c r="G11" s="22"/>
      <c r="H11" s="22"/>
      <c r="I11" s="22"/>
      <c r="J11" s="22"/>
      <c r="K11" s="27"/>
      <c r="L11" s="22"/>
      <c r="M11" s="22"/>
      <c r="N11" s="22"/>
      <c r="O11" s="22"/>
      <c r="P11" s="22"/>
      <c r="Q11" s="22"/>
      <c r="R11" s="22" t="n">
        <v>2</v>
      </c>
      <c r="S11" s="22" t="n">
        <v>1</v>
      </c>
      <c r="T11" s="22" t="n">
        <v>1</v>
      </c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3"/>
    </row>
    <row r="12" customFormat="false" ht="13.5" hidden="false" customHeight="true" outlineLevel="0" collapsed="false">
      <c r="B12" s="24" t="n">
        <v>7</v>
      </c>
      <c r="C12" s="53" t="s">
        <v>88</v>
      </c>
      <c r="D12" s="26" t="n">
        <v>3</v>
      </c>
      <c r="E12" s="27"/>
      <c r="F12" s="22"/>
      <c r="G12" s="22"/>
      <c r="H12" s="22"/>
      <c r="I12" s="22"/>
      <c r="J12" s="22"/>
      <c r="K12" s="27"/>
      <c r="L12" s="22"/>
      <c r="M12" s="22"/>
      <c r="N12" s="22"/>
      <c r="O12" s="22"/>
      <c r="P12" s="22"/>
      <c r="Q12" s="22"/>
      <c r="R12" s="22"/>
      <c r="S12" s="22"/>
      <c r="T12" s="22"/>
      <c r="U12" s="22" t="n">
        <v>1</v>
      </c>
      <c r="V12" s="22" t="n">
        <v>1</v>
      </c>
      <c r="W12" s="22" t="n">
        <v>1</v>
      </c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3"/>
    </row>
    <row r="13" customFormat="false" ht="13.5" hidden="false" customHeight="true" outlineLevel="0" collapsed="false">
      <c r="B13" s="24" t="n">
        <v>8</v>
      </c>
      <c r="C13" s="53" t="s">
        <v>89</v>
      </c>
      <c r="D13" s="26" t="n">
        <v>6</v>
      </c>
      <c r="E13" s="27"/>
      <c r="F13" s="22"/>
      <c r="G13" s="22"/>
      <c r="H13" s="22"/>
      <c r="I13" s="22" t="n">
        <v>2</v>
      </c>
      <c r="J13" s="22" t="n">
        <v>2</v>
      </c>
      <c r="K13" s="27" t="n">
        <v>1</v>
      </c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3"/>
    </row>
    <row r="14" customFormat="false" ht="13.5" hidden="false" customHeight="true" outlineLevel="0" collapsed="false">
      <c r="B14" s="24" t="n">
        <v>9</v>
      </c>
      <c r="C14" s="25" t="s">
        <v>90</v>
      </c>
      <c r="D14" s="26" t="n">
        <v>5</v>
      </c>
      <c r="E14" s="27"/>
      <c r="F14" s="22"/>
      <c r="G14" s="22"/>
      <c r="H14" s="22"/>
      <c r="I14" s="22"/>
      <c r="J14" s="22"/>
      <c r="K14" s="27"/>
      <c r="L14" s="22"/>
      <c r="M14" s="22"/>
      <c r="N14" s="22"/>
      <c r="O14" s="22" t="n">
        <v>1</v>
      </c>
      <c r="P14" s="22" t="n">
        <v>1</v>
      </c>
      <c r="Q14" s="22" t="n">
        <v>1</v>
      </c>
      <c r="R14" s="22" t="n">
        <v>1</v>
      </c>
      <c r="S14" s="22" t="n">
        <v>1</v>
      </c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3"/>
    </row>
    <row r="15" customFormat="false" ht="13.5" hidden="false" customHeight="true" outlineLevel="0" collapsed="false">
      <c r="B15" s="24" t="n">
        <v>10</v>
      </c>
      <c r="C15" s="25" t="s">
        <v>91</v>
      </c>
      <c r="D15" s="26" t="n">
        <v>5</v>
      </c>
      <c r="E15" s="27"/>
      <c r="F15" s="22"/>
      <c r="G15" s="22"/>
      <c r="H15" s="22"/>
      <c r="I15" s="22"/>
      <c r="J15" s="22"/>
      <c r="K15" s="2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 t="n">
        <v>1</v>
      </c>
      <c r="Y15" s="22" t="n">
        <v>1</v>
      </c>
      <c r="Z15" s="22" t="n">
        <v>2</v>
      </c>
      <c r="AA15" s="22" t="n">
        <v>1</v>
      </c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3"/>
    </row>
    <row r="16" customFormat="false" ht="13.5" hidden="false" customHeight="true" outlineLevel="0" collapsed="false">
      <c r="B16" s="24" t="n">
        <v>11</v>
      </c>
      <c r="C16" s="53" t="s">
        <v>92</v>
      </c>
      <c r="D16" s="26" t="n">
        <v>3</v>
      </c>
      <c r="E16" s="27"/>
      <c r="F16" s="22"/>
      <c r="G16" s="22"/>
      <c r="H16" s="22"/>
      <c r="I16" s="22"/>
      <c r="J16" s="22"/>
      <c r="K16" s="27"/>
      <c r="L16" s="22"/>
      <c r="M16" s="22"/>
      <c r="N16" s="22"/>
      <c r="O16" s="22"/>
      <c r="P16" s="22"/>
      <c r="Q16" s="22"/>
      <c r="R16" s="22"/>
      <c r="S16" s="22"/>
      <c r="T16" s="22"/>
      <c r="U16" s="22" t="n">
        <v>2</v>
      </c>
      <c r="V16" s="22" t="n">
        <v>1</v>
      </c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3"/>
    </row>
    <row r="17" customFormat="false" ht="13.5" hidden="false" customHeight="true" outlineLevel="0" collapsed="false">
      <c r="B17" s="24" t="n">
        <v>12</v>
      </c>
      <c r="C17" s="53" t="s">
        <v>93</v>
      </c>
      <c r="D17" s="26" t="n">
        <v>4</v>
      </c>
      <c r="E17" s="27"/>
      <c r="F17" s="22"/>
      <c r="G17" s="22"/>
      <c r="H17" s="22"/>
      <c r="I17" s="22"/>
      <c r="J17" s="22"/>
      <c r="K17" s="27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 t="n">
        <v>2</v>
      </c>
      <c r="Z17" s="22" t="n">
        <v>2</v>
      </c>
      <c r="AA17" s="22"/>
      <c r="AB17" s="22" t="n">
        <v>2</v>
      </c>
      <c r="AC17" s="22" t="n">
        <v>2</v>
      </c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3"/>
    </row>
    <row r="18" customFormat="false" ht="13.5" hidden="false" customHeight="true" outlineLevel="0" collapsed="false">
      <c r="B18" s="24" t="n">
        <v>13</v>
      </c>
      <c r="C18" s="54" t="s">
        <v>94</v>
      </c>
      <c r="D18" s="26" t="n">
        <v>7</v>
      </c>
      <c r="E18" s="55"/>
      <c r="F18" s="22"/>
      <c r="G18" s="22"/>
      <c r="H18" s="22"/>
      <c r="I18" s="22"/>
      <c r="J18" s="22"/>
      <c r="K18" s="27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3"/>
    </row>
    <row r="19" customFormat="false" ht="13.5" hidden="false" customHeight="true" outlineLevel="0" collapsed="false">
      <c r="B19" s="24" t="n">
        <v>14</v>
      </c>
      <c r="C19" s="54" t="s">
        <v>95</v>
      </c>
      <c r="D19" s="26" t="n">
        <v>2</v>
      </c>
      <c r="E19" s="55"/>
      <c r="F19" s="22"/>
      <c r="G19" s="22"/>
      <c r="H19" s="22"/>
      <c r="I19" s="22"/>
      <c r="J19" s="22"/>
      <c r="K19" s="27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3"/>
    </row>
    <row r="20" customFormat="false" ht="13.5" hidden="false" customHeight="true" outlineLevel="0" collapsed="false">
      <c r="B20" s="24" t="n">
        <v>15</v>
      </c>
      <c r="C20" s="54" t="s">
        <v>96</v>
      </c>
      <c r="D20" s="26" t="n">
        <v>2</v>
      </c>
      <c r="E20" s="55"/>
      <c r="F20" s="22"/>
      <c r="G20" s="22"/>
      <c r="H20" s="22"/>
      <c r="I20" s="22"/>
      <c r="J20" s="22"/>
      <c r="K20" s="27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3"/>
    </row>
    <row r="21" customFormat="false" ht="13.5" hidden="false" customHeight="true" outlineLevel="0" collapsed="false">
      <c r="B21" s="24" t="n">
        <v>16</v>
      </c>
      <c r="C21" s="54" t="s">
        <v>97</v>
      </c>
      <c r="D21" s="26" t="n">
        <v>2</v>
      </c>
      <c r="E21" s="55"/>
      <c r="F21" s="22"/>
      <c r="G21" s="22"/>
      <c r="H21" s="22"/>
      <c r="I21" s="22"/>
      <c r="J21" s="22"/>
      <c r="K21" s="27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3"/>
    </row>
    <row r="22" customFormat="false" ht="13.5" hidden="false" customHeight="true" outlineLevel="0" collapsed="false">
      <c r="B22" s="24" t="n">
        <v>17</v>
      </c>
      <c r="C22" s="54" t="s">
        <v>98</v>
      </c>
      <c r="D22" s="26" t="n">
        <v>2</v>
      </c>
      <c r="E22" s="55"/>
      <c r="F22" s="22"/>
      <c r="G22" s="22"/>
      <c r="H22" s="22"/>
      <c r="I22" s="22"/>
      <c r="J22" s="22"/>
      <c r="K22" s="27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3"/>
    </row>
    <row r="23" customFormat="false" ht="13.5" hidden="false" customHeight="true" outlineLevel="0" collapsed="false">
      <c r="B23" s="24" t="n">
        <v>18</v>
      </c>
      <c r="C23" s="54" t="s">
        <v>99</v>
      </c>
      <c r="D23" s="26" t="n">
        <v>2</v>
      </c>
      <c r="E23" s="55"/>
      <c r="F23" s="22"/>
      <c r="G23" s="22"/>
      <c r="H23" s="22"/>
      <c r="I23" s="22"/>
      <c r="J23" s="22"/>
      <c r="K23" s="27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3"/>
    </row>
    <row r="24" customFormat="false" ht="13.5" hidden="false" customHeight="true" outlineLevel="0" collapsed="false">
      <c r="B24" s="24" t="n">
        <v>19</v>
      </c>
      <c r="C24" s="54" t="s">
        <v>100</v>
      </c>
      <c r="D24" s="26" t="n">
        <v>2</v>
      </c>
      <c r="E24" s="55"/>
      <c r="F24" s="22"/>
      <c r="G24" s="22"/>
      <c r="H24" s="22"/>
      <c r="I24" s="22"/>
      <c r="J24" s="22"/>
      <c r="K24" s="27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3"/>
    </row>
    <row r="25" customFormat="false" ht="13.5" hidden="false" customHeight="true" outlineLevel="0" collapsed="false">
      <c r="B25" s="24" t="n">
        <v>20</v>
      </c>
      <c r="C25" s="56" t="s">
        <v>101</v>
      </c>
      <c r="D25" s="26" t="n">
        <v>2</v>
      </c>
      <c r="E25" s="55"/>
      <c r="F25" s="22"/>
      <c r="G25" s="22"/>
      <c r="H25" s="22"/>
      <c r="I25" s="22"/>
      <c r="J25" s="22"/>
      <c r="K25" s="27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3"/>
    </row>
    <row r="26" customFormat="false" ht="13.5" hidden="false" customHeight="true" outlineLevel="0" collapsed="false">
      <c r="B26" s="24" t="n">
        <v>21</v>
      </c>
      <c r="C26" s="54" t="s">
        <v>102</v>
      </c>
      <c r="D26" s="26" t="n">
        <v>2</v>
      </c>
      <c r="E26" s="55"/>
      <c r="F26" s="22"/>
      <c r="G26" s="22"/>
      <c r="H26" s="22"/>
      <c r="I26" s="22"/>
      <c r="J26" s="22"/>
      <c r="K26" s="27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3"/>
    </row>
    <row r="27" customFormat="false" ht="13.5" hidden="false" customHeight="true" outlineLevel="0" collapsed="false">
      <c r="B27" s="24" t="n">
        <v>22</v>
      </c>
      <c r="C27" s="56" t="s">
        <v>103</v>
      </c>
      <c r="D27" s="26" t="n">
        <v>2</v>
      </c>
      <c r="E27" s="55"/>
      <c r="F27" s="22"/>
      <c r="G27" s="22"/>
      <c r="H27" s="22"/>
      <c r="I27" s="22"/>
      <c r="J27" s="22"/>
      <c r="K27" s="27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3"/>
    </row>
    <row r="28" customFormat="false" ht="13.5" hidden="false" customHeight="true" outlineLevel="0" collapsed="false">
      <c r="B28" s="24" t="n">
        <v>23</v>
      </c>
      <c r="C28" s="57"/>
      <c r="D28" s="26"/>
      <c r="E28" s="55"/>
      <c r="F28" s="22"/>
      <c r="G28" s="22"/>
      <c r="H28" s="22"/>
      <c r="I28" s="22"/>
      <c r="J28" s="22"/>
      <c r="K28" s="27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3"/>
    </row>
    <row r="29" customFormat="false" ht="13.5" hidden="false" customHeight="true" outlineLevel="0" collapsed="false">
      <c r="B29" s="24" t="n">
        <v>24</v>
      </c>
      <c r="C29" s="57"/>
      <c r="D29" s="26"/>
      <c r="E29" s="55"/>
      <c r="F29" s="22"/>
      <c r="G29" s="22"/>
      <c r="H29" s="22"/>
      <c r="I29" s="22"/>
      <c r="J29" s="22"/>
      <c r="K29" s="27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3"/>
    </row>
    <row r="30" customFormat="false" ht="13.5" hidden="false" customHeight="true" outlineLevel="0" collapsed="false">
      <c r="B30" s="24" t="n">
        <v>25</v>
      </c>
      <c r="C30" s="57"/>
      <c r="D30" s="26"/>
      <c r="E30" s="55"/>
      <c r="F30" s="22"/>
      <c r="G30" s="22"/>
      <c r="H30" s="22"/>
      <c r="I30" s="22"/>
      <c r="J30" s="22"/>
      <c r="K30" s="27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3"/>
    </row>
    <row r="31" customFormat="false" ht="13.5" hidden="false" customHeight="true" outlineLevel="0" collapsed="false">
      <c r="B31" s="24" t="n">
        <v>26</v>
      </c>
      <c r="C31" s="57"/>
      <c r="D31" s="26"/>
      <c r="E31" s="55"/>
      <c r="F31" s="22"/>
      <c r="G31" s="22"/>
      <c r="H31" s="22"/>
      <c r="I31" s="22"/>
      <c r="J31" s="22"/>
      <c r="K31" s="27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3"/>
    </row>
    <row r="32" customFormat="false" ht="13.5" hidden="false" customHeight="true" outlineLevel="0" collapsed="false">
      <c r="B32" s="24" t="n">
        <v>27</v>
      </c>
      <c r="C32" s="57"/>
      <c r="D32" s="26"/>
      <c r="E32" s="55"/>
      <c r="F32" s="22"/>
      <c r="G32" s="22"/>
      <c r="H32" s="22"/>
      <c r="I32" s="22"/>
      <c r="J32" s="22"/>
      <c r="K32" s="27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3"/>
    </row>
    <row r="33" customFormat="false" ht="13.5" hidden="false" customHeight="true" outlineLevel="0" collapsed="false">
      <c r="B33" s="24" t="n">
        <v>28</v>
      </c>
      <c r="C33" s="57"/>
      <c r="D33" s="26"/>
      <c r="E33" s="55"/>
      <c r="F33" s="22"/>
      <c r="G33" s="22"/>
      <c r="H33" s="22"/>
      <c r="I33" s="22"/>
      <c r="J33" s="22"/>
      <c r="K33" s="27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3"/>
    </row>
    <row r="34" customFormat="false" ht="13.5" hidden="false" customHeight="true" outlineLevel="0" collapsed="false">
      <c r="B34" s="24" t="n">
        <v>29</v>
      </c>
      <c r="C34" s="57"/>
      <c r="D34" s="26"/>
      <c r="E34" s="55"/>
      <c r="F34" s="22"/>
      <c r="G34" s="22"/>
      <c r="H34" s="22"/>
      <c r="I34" s="22"/>
      <c r="J34" s="22"/>
      <c r="K34" s="27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3"/>
    </row>
    <row r="35" customFormat="false" ht="13.5" hidden="false" customHeight="true" outlineLevel="0" collapsed="false">
      <c r="B35" s="24" t="n">
        <v>30</v>
      </c>
      <c r="C35" s="57"/>
      <c r="D35" s="26"/>
      <c r="E35" s="55"/>
      <c r="F35" s="22"/>
      <c r="G35" s="22"/>
      <c r="H35" s="22"/>
      <c r="I35" s="22"/>
      <c r="J35" s="22"/>
      <c r="K35" s="27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3"/>
    </row>
    <row r="36" customFormat="false" ht="13.5" hidden="false" customHeight="true" outlineLevel="0" collapsed="false">
      <c r="B36" s="24" t="n">
        <v>31</v>
      </c>
      <c r="C36" s="57"/>
      <c r="D36" s="26"/>
      <c r="E36" s="55"/>
      <c r="F36" s="22"/>
      <c r="G36" s="22"/>
      <c r="H36" s="22"/>
      <c r="I36" s="22"/>
      <c r="J36" s="22"/>
      <c r="K36" s="27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3"/>
    </row>
    <row r="37" customFormat="false" ht="13.5" hidden="false" customHeight="true" outlineLevel="0" collapsed="false">
      <c r="B37" s="24" t="n">
        <v>32</v>
      </c>
      <c r="C37" s="57"/>
      <c r="D37" s="26"/>
      <c r="E37" s="55"/>
      <c r="F37" s="22"/>
      <c r="G37" s="22"/>
      <c r="H37" s="22"/>
      <c r="I37" s="22"/>
      <c r="J37" s="22"/>
      <c r="K37" s="27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3"/>
    </row>
    <row r="38" customFormat="false" ht="13.5" hidden="false" customHeight="true" outlineLevel="0" collapsed="false">
      <c r="B38" s="24" t="n">
        <v>33</v>
      </c>
      <c r="C38" s="57"/>
      <c r="D38" s="26"/>
      <c r="E38" s="55"/>
      <c r="F38" s="22"/>
      <c r="G38" s="22"/>
      <c r="H38" s="22"/>
      <c r="I38" s="22"/>
      <c r="J38" s="22"/>
      <c r="K38" s="27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3"/>
    </row>
    <row r="39" customFormat="false" ht="13.5" hidden="false" customHeight="true" outlineLevel="0" collapsed="false">
      <c r="B39" s="24" t="n">
        <v>34</v>
      </c>
      <c r="C39" s="57"/>
      <c r="D39" s="26"/>
      <c r="E39" s="55"/>
      <c r="F39" s="22"/>
      <c r="G39" s="22"/>
      <c r="H39" s="22"/>
      <c r="I39" s="22"/>
      <c r="J39" s="22"/>
      <c r="K39" s="27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3"/>
    </row>
    <row r="40" customFormat="false" ht="13.5" hidden="false" customHeight="true" outlineLevel="0" collapsed="false">
      <c r="B40" s="24" t="n">
        <v>35</v>
      </c>
      <c r="C40" s="57"/>
      <c r="D40" s="26"/>
      <c r="E40" s="55"/>
      <c r="F40" s="31"/>
      <c r="G40" s="31"/>
      <c r="H40" s="31"/>
      <c r="I40" s="31"/>
      <c r="J40" s="31"/>
      <c r="K40" s="30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2"/>
    </row>
    <row r="41" customFormat="false" ht="15" hidden="false" customHeight="true" outlineLevel="0" collapsed="false">
      <c r="B41" s="33" t="s">
        <v>68</v>
      </c>
      <c r="C41" s="33"/>
      <c r="D41" s="34" t="n">
        <v>0</v>
      </c>
      <c r="E41" s="35" t="n">
        <f aca="false">SUM(E6:E40)</f>
        <v>3</v>
      </c>
      <c r="F41" s="36" t="n">
        <f aca="false">SUM(F6:F40)</f>
        <v>3</v>
      </c>
      <c r="G41" s="36" t="n">
        <f aca="false">SUM(G6:G40)</f>
        <v>1</v>
      </c>
      <c r="H41" s="36" t="n">
        <f aca="false">SUM(H6:H40)</f>
        <v>0</v>
      </c>
      <c r="I41" s="36" t="n">
        <f aca="false">SUM(I6:I40)</f>
        <v>2</v>
      </c>
      <c r="J41" s="36" t="n">
        <f aca="false">SUM(J6:J40)</f>
        <v>2</v>
      </c>
      <c r="K41" s="36" t="n">
        <f aca="false">SUM(K6:K40)</f>
        <v>1</v>
      </c>
      <c r="L41" s="36" t="n">
        <f aca="false">SUM(L6:L40)</f>
        <v>0</v>
      </c>
      <c r="M41" s="36" t="n">
        <f aca="false">SUM(M6:M40)</f>
        <v>0</v>
      </c>
      <c r="N41" s="36" t="n">
        <f aca="false">SUM(N6:N40)</f>
        <v>1</v>
      </c>
      <c r="O41" s="36" t="n">
        <f aca="false">SUM(O6:O40)</f>
        <v>3</v>
      </c>
      <c r="P41" s="36" t="n">
        <f aca="false">SUM(P6:P40)</f>
        <v>7</v>
      </c>
      <c r="Q41" s="36" t="n">
        <f aca="false">SUM(Q6:Q40)</f>
        <v>7</v>
      </c>
      <c r="R41" s="36" t="n">
        <f aca="false">SUM(R6:R40)</f>
        <v>6</v>
      </c>
      <c r="S41" s="36" t="n">
        <f aca="false">SUM(S6:S40)</f>
        <v>3</v>
      </c>
      <c r="T41" s="36" t="n">
        <f aca="false">SUM(T6:T40)</f>
        <v>2</v>
      </c>
      <c r="U41" s="36" t="n">
        <f aca="false">SUM(U6:U40)</f>
        <v>5</v>
      </c>
      <c r="V41" s="36" t="n">
        <f aca="false">SUM(V6:V40)</f>
        <v>4</v>
      </c>
      <c r="W41" s="36" t="n">
        <f aca="false">SUM(W6:W40)</f>
        <v>2</v>
      </c>
      <c r="X41" s="36" t="n">
        <f aca="false">SUM(X6:X40)</f>
        <v>1</v>
      </c>
      <c r="Y41" s="36" t="n">
        <f aca="false">SUM(Y6:Y40)</f>
        <v>3</v>
      </c>
      <c r="Z41" s="36" t="n">
        <f aca="false">SUM(Z6:Z40)</f>
        <v>4</v>
      </c>
      <c r="AA41" s="36" t="n">
        <f aca="false">SUM(AA6:AA40)</f>
        <v>1</v>
      </c>
      <c r="AB41" s="36" t="n">
        <f aca="false">SUM(AB6:AB40)</f>
        <v>2</v>
      </c>
      <c r="AC41" s="36" t="n">
        <f aca="false">SUM(AC6:AC40)</f>
        <v>2</v>
      </c>
      <c r="AD41" s="36" t="n">
        <f aca="false">SUM(AD6:AD40)</f>
        <v>0</v>
      </c>
      <c r="AE41" s="36" t="n">
        <f aca="false">SUM(AE6:AE40)</f>
        <v>0</v>
      </c>
      <c r="AF41" s="36" t="n">
        <f aca="false">SUM(AF6:AF40)</f>
        <v>0</v>
      </c>
      <c r="AG41" s="36" t="n">
        <f aca="false">SUM(AG6:AG40)</f>
        <v>0</v>
      </c>
      <c r="AH41" s="36" t="n">
        <f aca="false">SUM(AH6:AH40)</f>
        <v>0</v>
      </c>
      <c r="AI41" s="36" t="n">
        <f aca="false">SUM(AI6:AI40)</f>
        <v>0</v>
      </c>
      <c r="AJ41" s="36" t="n">
        <f aca="false">SUM(AJ6:AJ40)</f>
        <v>0</v>
      </c>
      <c r="AK41" s="36" t="n">
        <f aca="false">SUM(AK6:AK40)</f>
        <v>0</v>
      </c>
      <c r="AL41" s="36" t="n">
        <f aca="false">SUM(AL6:AL40)</f>
        <v>0</v>
      </c>
      <c r="AM41" s="36" t="n">
        <f aca="false">SUM(AM6:AM40)</f>
        <v>0</v>
      </c>
      <c r="AN41" s="36" t="n">
        <f aca="false">SUM(AN6:AN40)</f>
        <v>0</v>
      </c>
      <c r="AO41" s="36" t="n">
        <f aca="false">SUM(AO6:AO40)</f>
        <v>0</v>
      </c>
      <c r="AP41" s="37" t="n">
        <f aca="false">SUM(AP6:AP40)</f>
        <v>0</v>
      </c>
    </row>
    <row r="42" customFormat="false" ht="13.5" hidden="false" customHeight="true" outlineLevel="0" collapsed="false">
      <c r="B42" s="38" t="s">
        <v>69</v>
      </c>
      <c r="C42" s="38"/>
      <c r="D42" s="39" t="n">
        <f aca="false">SUM(D6:D41)</f>
        <v>81</v>
      </c>
      <c r="E42" s="40" t="n">
        <f aca="false">D42-SUM(E6:E40)</f>
        <v>78</v>
      </c>
      <c r="F42" s="41" t="n">
        <f aca="false">E42-SUM(F6:F40)</f>
        <v>75</v>
      </c>
      <c r="G42" s="41" t="n">
        <f aca="false">F42-SUM(G6:G40)</f>
        <v>74</v>
      </c>
      <c r="H42" s="41" t="n">
        <f aca="false">G42-SUM(H6:H40)</f>
        <v>74</v>
      </c>
      <c r="I42" s="41" t="n">
        <f aca="false">H42-SUM(I6:I40)</f>
        <v>72</v>
      </c>
      <c r="J42" s="41" t="n">
        <f aca="false">I42-SUM(J6:J40)</f>
        <v>70</v>
      </c>
      <c r="K42" s="41" t="n">
        <f aca="false">J42-SUM(K6:K40)</f>
        <v>69</v>
      </c>
      <c r="L42" s="41" t="n">
        <f aca="false">K42-SUM(L6:L40)</f>
        <v>69</v>
      </c>
      <c r="M42" s="41" t="n">
        <f aca="false">L42-SUM(M6:M40)</f>
        <v>69</v>
      </c>
      <c r="N42" s="41" t="n">
        <f aca="false">M42-SUM(N6:N40)</f>
        <v>68</v>
      </c>
      <c r="O42" s="41" t="n">
        <f aca="false">N42-SUM(O6:O40)</f>
        <v>65</v>
      </c>
      <c r="P42" s="41" t="n">
        <f aca="false">O42-SUM(P6:P40)</f>
        <v>58</v>
      </c>
      <c r="Q42" s="41" t="n">
        <f aca="false">P42-SUM(Q6:Q40)</f>
        <v>51</v>
      </c>
      <c r="R42" s="41" t="n">
        <f aca="false">Q42-SUM(R6:R40)</f>
        <v>45</v>
      </c>
      <c r="S42" s="41" t="n">
        <f aca="false">R42-SUM(S6:S40)</f>
        <v>42</v>
      </c>
      <c r="T42" s="41" t="n">
        <f aca="false">S42-SUM(T6:T40)</f>
        <v>40</v>
      </c>
      <c r="U42" s="41" t="n">
        <f aca="false">T42-SUM(U6:U40)</f>
        <v>35</v>
      </c>
      <c r="V42" s="41" t="n">
        <f aca="false">U42-SUM(V6:V40)</f>
        <v>31</v>
      </c>
      <c r="W42" s="41" t="n">
        <f aca="false">V42-SUM(W6:W40)</f>
        <v>29</v>
      </c>
      <c r="X42" s="41" t="n">
        <f aca="false">W42-SUM(X6:X40)</f>
        <v>28</v>
      </c>
      <c r="Y42" s="41" t="n">
        <f aca="false">X42-SUM(Y6:Y40)</f>
        <v>25</v>
      </c>
      <c r="Z42" s="41" t="n">
        <f aca="false">Y42-SUM(Z6:Z40)</f>
        <v>21</v>
      </c>
      <c r="AA42" s="41" t="n">
        <f aca="false">Z42-SUM(AA6:AA40)</f>
        <v>20</v>
      </c>
      <c r="AB42" s="41" t="n">
        <f aca="false">AA42-SUM(AB6:AB40)</f>
        <v>18</v>
      </c>
      <c r="AC42" s="41" t="n">
        <f aca="false">AB42-SUM(AC6:AC40)</f>
        <v>16</v>
      </c>
      <c r="AD42" s="41" t="n">
        <f aca="false">AC42-SUM(AD6:AD40)</f>
        <v>16</v>
      </c>
      <c r="AE42" s="41" t="n">
        <f aca="false">AD42-SUM(AE6:AE40)</f>
        <v>16</v>
      </c>
      <c r="AF42" s="41" t="n">
        <f aca="false">AE42-SUM(AF6:AF40)</f>
        <v>16</v>
      </c>
      <c r="AG42" s="41" t="n">
        <f aca="false">AF42-SUM(AG6:AG40)</f>
        <v>16</v>
      </c>
      <c r="AH42" s="41" t="n">
        <f aca="false">AG42-SUM(AH6:AH40)</f>
        <v>16</v>
      </c>
      <c r="AI42" s="41" t="n">
        <f aca="false">AH42-SUM(AI6:AI40)</f>
        <v>16</v>
      </c>
      <c r="AJ42" s="41" t="n">
        <f aca="false">AI42-SUM(AJ6:AJ40)</f>
        <v>16</v>
      </c>
      <c r="AK42" s="41" t="n">
        <f aca="false">AJ42-SUM(AK6:AK40)</f>
        <v>16</v>
      </c>
      <c r="AL42" s="41" t="n">
        <f aca="false">AK42-SUM(AL6:AL40)</f>
        <v>16</v>
      </c>
      <c r="AM42" s="41" t="n">
        <f aca="false">AL42-SUM(AM6:AM40)</f>
        <v>16</v>
      </c>
      <c r="AN42" s="41" t="n">
        <f aca="false">AM42-SUM(AN6:AN40)</f>
        <v>16</v>
      </c>
      <c r="AO42" s="41" t="n">
        <f aca="false">AN42-SUM(AO6:AO40)</f>
        <v>16</v>
      </c>
      <c r="AP42" s="42" t="n">
        <f aca="false">AO42-SUM(AP6:AP40)</f>
        <v>16</v>
      </c>
    </row>
    <row r="43" customFormat="false" ht="13.5" hidden="false" customHeight="true" outlineLevel="0" collapsed="false">
      <c r="B43" s="43" t="s">
        <v>70</v>
      </c>
      <c r="C43" s="43"/>
      <c r="D43" s="44" t="n">
        <f aca="false">D42</f>
        <v>81</v>
      </c>
      <c r="E43" s="45" t="n">
        <f aca="false">$D$43-($D$43/38*1)</f>
        <v>78.8684210526316</v>
      </c>
      <c r="F43" s="46" t="n">
        <f aca="false">$D$43-($D$43/38*2)</f>
        <v>76.7368421052632</v>
      </c>
      <c r="G43" s="46" t="n">
        <f aca="false">$D$43-($D$43/38*3)</f>
        <v>74.6052631578947</v>
      </c>
      <c r="H43" s="46" t="n">
        <f aca="false">$D$43-($D$43/38*4)</f>
        <v>72.4736842105263</v>
      </c>
      <c r="I43" s="46" t="n">
        <f aca="false">$D$43-($D$43/38*5)</f>
        <v>70.3421052631579</v>
      </c>
      <c r="J43" s="46" t="n">
        <f aca="false">$D$43-($D$43/38*6)</f>
        <v>68.2105263157895</v>
      </c>
      <c r="K43" s="46" t="n">
        <f aca="false">$D$43-($D$43/38*7)</f>
        <v>66.0789473684211</v>
      </c>
      <c r="L43" s="46" t="n">
        <f aca="false">$D$43-($D$43/38*8)</f>
        <v>63.9473684210526</v>
      </c>
      <c r="M43" s="46" t="n">
        <f aca="false">$D$43-($D$43/38*9)</f>
        <v>61.8157894736842</v>
      </c>
      <c r="N43" s="46" t="n">
        <f aca="false">$D$43-($D$43/38*10)</f>
        <v>59.6842105263158</v>
      </c>
      <c r="O43" s="46" t="n">
        <f aca="false">$D$43-($D$43/38*11)</f>
        <v>57.5526315789474</v>
      </c>
      <c r="P43" s="46" t="n">
        <f aca="false">$D$43-($D$43/38*12)</f>
        <v>55.4210526315789</v>
      </c>
      <c r="Q43" s="46" t="n">
        <f aca="false">$D$43-($D$43/38*13)</f>
        <v>53.2894736842105</v>
      </c>
      <c r="R43" s="46" t="n">
        <f aca="false">$D$43-($D$43/38*14)</f>
        <v>51.1578947368421</v>
      </c>
      <c r="S43" s="46" t="n">
        <f aca="false">$D$43-($D$43/38*15)</f>
        <v>49.0263157894737</v>
      </c>
      <c r="T43" s="46" t="n">
        <f aca="false">$D$43-($D$43/38*16)</f>
        <v>46.8947368421053</v>
      </c>
      <c r="U43" s="46" t="n">
        <f aca="false">$D$43-($D$43/38*17)</f>
        <v>44.7631578947368</v>
      </c>
      <c r="V43" s="46" t="n">
        <f aca="false">$D$43-($D$43/38*18)</f>
        <v>42.6315789473684</v>
      </c>
      <c r="W43" s="46" t="n">
        <f aca="false">$D$43-($D$43/38*19)</f>
        <v>40.5</v>
      </c>
      <c r="X43" s="46" t="n">
        <f aca="false">$D$43-($D$43/38*20)</f>
        <v>38.3684210526316</v>
      </c>
      <c r="Y43" s="46" t="n">
        <f aca="false">$D$43-($D$43/38*21)</f>
        <v>36.2368421052632</v>
      </c>
      <c r="Z43" s="46" t="n">
        <f aca="false">$D$43-($D$43/38*22)</f>
        <v>34.1052631578947</v>
      </c>
      <c r="AA43" s="46" t="n">
        <f aca="false">$D$43-($D$43/38*23)</f>
        <v>31.9736842105263</v>
      </c>
      <c r="AB43" s="46" t="n">
        <f aca="false">$D$43-($D$43/38*24)</f>
        <v>29.8421052631579</v>
      </c>
      <c r="AC43" s="46" t="n">
        <f aca="false">$D$43-($D$43/38*25)</f>
        <v>27.7105263157895</v>
      </c>
      <c r="AD43" s="46" t="n">
        <f aca="false">$D$43-($D$43/38*26)</f>
        <v>25.578947368421</v>
      </c>
      <c r="AE43" s="46" t="n">
        <f aca="false">$D$43-($D$43/38*27)</f>
        <v>23.4473684210526</v>
      </c>
      <c r="AF43" s="46" t="n">
        <f aca="false">$D$43-($D$43/38*28)</f>
        <v>21.3157894736842</v>
      </c>
      <c r="AG43" s="46" t="n">
        <f aca="false">$D$43-($D$43/38*29)</f>
        <v>19.1842105263158</v>
      </c>
      <c r="AH43" s="46" t="n">
        <f aca="false">$D$43-($D$43/38*30)</f>
        <v>17.0526315789474</v>
      </c>
      <c r="AI43" s="46" t="n">
        <f aca="false">$D$43-($D$43/38*31)</f>
        <v>14.9210526315789</v>
      </c>
      <c r="AJ43" s="47" t="n">
        <f aca="false">$D$43-($D$43/38*32)</f>
        <v>12.7894736842105</v>
      </c>
      <c r="AK43" s="46" t="n">
        <f aca="false">$D$43-($D$43/38*33)</f>
        <v>10.6578947368421</v>
      </c>
      <c r="AL43" s="46" t="n">
        <f aca="false">$D$43-($D$43/38*34)</f>
        <v>8.52631578947367</v>
      </c>
      <c r="AM43" s="46" t="n">
        <f aca="false">$D$43-($D$43/38*35)</f>
        <v>6.39473684210526</v>
      </c>
      <c r="AN43" s="46" t="n">
        <f aca="false">$D$43-($D$43/38*36)</f>
        <v>4.26315789473684</v>
      </c>
      <c r="AO43" s="46" t="n">
        <f aca="false">$D$43-($D$43/38*37)</f>
        <v>2.13157894736841</v>
      </c>
      <c r="AP43" s="47" t="n">
        <f aca="false">$D$43-($D$43/38*38)</f>
        <v>0</v>
      </c>
    </row>
    <row r="44" customFormat="false" ht="13.5" hidden="false" customHeight="true" outlineLevel="0" collapsed="false">
      <c r="Q44" s="48" t="s">
        <v>71</v>
      </c>
    </row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/>
    <row r="85" customFormat="false" ht="13.5" hidden="false" customHeight="true" outlineLevel="0" collapsed="false"/>
    <row r="86" customFormat="false" ht="13.5" hidden="false" customHeight="true" outlineLevel="0" collapsed="false"/>
    <row r="87" customFormat="false" ht="13.5" hidden="false" customHeight="true" outlineLevel="0" collapsed="false"/>
    <row r="88" customFormat="false" ht="13.5" hidden="false" customHeight="true" outlineLevel="0" collapsed="false"/>
    <row r="89" customFormat="false" ht="13.5" hidden="false" customHeight="true" outlineLevel="0" collapsed="false"/>
    <row r="90" customFormat="false" ht="13.5" hidden="false" customHeight="true" outlineLevel="0" collapsed="false"/>
    <row r="91" customFormat="false" ht="13.5" hidden="false" customHeight="true" outlineLevel="0" collapsed="false"/>
    <row r="92" customFormat="false" ht="13.5" hidden="false" customHeight="true" outlineLevel="0" collapsed="false"/>
    <row r="93" customFormat="false" ht="13.5" hidden="false" customHeight="true" outlineLevel="0" collapsed="false"/>
    <row r="94" customFormat="false" ht="13.5" hidden="false" customHeight="true" outlineLevel="0" collapsed="false"/>
    <row r="95" customFormat="false" ht="13.5" hidden="false" customHeight="true" outlineLevel="0" collapsed="false"/>
    <row r="96" customFormat="false" ht="13.5" hidden="false" customHeight="true" outlineLevel="0" collapsed="false"/>
    <row r="97" customFormat="false" ht="13.5" hidden="false" customHeight="true" outlineLevel="0" collapsed="false"/>
    <row r="98" customFormat="false" ht="13.5" hidden="false" customHeight="true" outlineLevel="0" collapsed="false"/>
    <row r="99" customFormat="false" ht="13.5" hidden="false" customHeight="true" outlineLevel="0" collapsed="false"/>
    <row r="100" customFormat="false" ht="13.5" hidden="false" customHeight="true" outlineLevel="0" collapsed="false"/>
    <row r="101" customFormat="false" ht="13.5" hidden="false" customHeight="true" outlineLevel="0" collapsed="false"/>
    <row r="102" customFormat="false" ht="13.5" hidden="false" customHeight="true" outlineLevel="0" collapsed="false"/>
    <row r="103" customFormat="false" ht="13.5" hidden="false" customHeight="true" outlineLevel="0" collapsed="false"/>
    <row r="104" customFormat="false" ht="13.5" hidden="false" customHeight="true" outlineLevel="0" collapsed="false"/>
    <row r="105" customFormat="false" ht="13.5" hidden="false" customHeight="true" outlineLevel="0" collapsed="false"/>
    <row r="106" customFormat="false" ht="13.5" hidden="false" customHeight="true" outlineLevel="0" collapsed="false"/>
    <row r="107" customFormat="false" ht="13.5" hidden="false" customHeight="true" outlineLevel="0" collapsed="false"/>
    <row r="108" customFormat="false" ht="13.5" hidden="false" customHeight="true" outlineLevel="0" collapsed="false"/>
    <row r="109" customFormat="false" ht="13.5" hidden="false" customHeight="true" outlineLevel="0" collapsed="false"/>
    <row r="110" customFormat="false" ht="13.5" hidden="false" customHeight="true" outlineLevel="0" collapsed="false"/>
    <row r="111" customFormat="false" ht="13.5" hidden="false" customHeight="true" outlineLevel="0" collapsed="false"/>
    <row r="112" customFormat="false" ht="13.5" hidden="false" customHeight="true" outlineLevel="0" collapsed="false"/>
    <row r="113" customFormat="false" ht="13.5" hidden="false" customHeight="true" outlineLevel="0" collapsed="false"/>
    <row r="114" customFormat="false" ht="13.5" hidden="false" customHeight="true" outlineLevel="0" collapsed="false"/>
    <row r="115" customFormat="false" ht="13.5" hidden="false" customHeight="true" outlineLevel="0" collapsed="false"/>
    <row r="116" customFormat="false" ht="13.5" hidden="false" customHeight="true" outlineLevel="0" collapsed="false"/>
    <row r="117" customFormat="false" ht="13.5" hidden="false" customHeight="true" outlineLevel="0" collapsed="false"/>
    <row r="118" customFormat="false" ht="13.5" hidden="false" customHeight="true" outlineLevel="0" collapsed="false"/>
    <row r="119" customFormat="false" ht="13.5" hidden="false" customHeight="true" outlineLevel="0" collapsed="false"/>
    <row r="120" customFormat="false" ht="13.5" hidden="false" customHeight="true" outlineLevel="0" collapsed="false"/>
    <row r="121" customFormat="false" ht="13.5" hidden="false" customHeight="true" outlineLevel="0" collapsed="false"/>
    <row r="122" customFormat="false" ht="13.5" hidden="false" customHeight="true" outlineLevel="0" collapsed="false"/>
    <row r="123" customFormat="false" ht="13.5" hidden="false" customHeight="true" outlineLevel="0" collapsed="false"/>
    <row r="124" customFormat="false" ht="13.5" hidden="false" customHeight="true" outlineLevel="0" collapsed="false"/>
    <row r="125" customFormat="false" ht="13.5" hidden="false" customHeight="true" outlineLevel="0" collapsed="false"/>
    <row r="126" customFormat="false" ht="13.5" hidden="false" customHeight="true" outlineLevel="0" collapsed="false"/>
    <row r="127" customFormat="false" ht="13.5" hidden="false" customHeight="true" outlineLevel="0" collapsed="false"/>
    <row r="128" customFormat="false" ht="13.5" hidden="false" customHeight="true" outlineLevel="0" collapsed="false"/>
    <row r="129" customFormat="false" ht="13.5" hidden="false" customHeight="true" outlineLevel="0" collapsed="false"/>
    <row r="130" customFormat="false" ht="13.5" hidden="false" customHeight="true" outlineLevel="0" collapsed="false"/>
    <row r="131" customFormat="false" ht="13.5" hidden="false" customHeight="true" outlineLevel="0" collapsed="false"/>
    <row r="132" customFormat="false" ht="13.5" hidden="false" customHeight="true" outlineLevel="0" collapsed="false"/>
    <row r="133" customFormat="false" ht="13.5" hidden="false" customHeight="true" outlineLevel="0" collapsed="false"/>
    <row r="134" customFormat="false" ht="13.5" hidden="false" customHeight="true" outlineLevel="0" collapsed="false"/>
    <row r="135" customFormat="false" ht="13.5" hidden="false" customHeight="true" outlineLevel="0" collapsed="false"/>
    <row r="136" customFormat="false" ht="13.5" hidden="false" customHeight="true" outlineLevel="0" collapsed="false"/>
    <row r="137" customFormat="false" ht="13.5" hidden="false" customHeight="true" outlineLevel="0" collapsed="false"/>
    <row r="138" customFormat="false" ht="13.5" hidden="false" customHeight="true" outlineLevel="0" collapsed="false"/>
    <row r="139" customFormat="false" ht="13.5" hidden="false" customHeight="true" outlineLevel="0" collapsed="false"/>
    <row r="140" customFormat="false" ht="13.5" hidden="false" customHeight="true" outlineLevel="0" collapsed="false"/>
    <row r="141" customFormat="false" ht="13.5" hidden="false" customHeight="true" outlineLevel="0" collapsed="false"/>
    <row r="142" customFormat="false" ht="13.5" hidden="false" customHeight="true" outlineLevel="0" collapsed="false"/>
    <row r="143" customFormat="false" ht="13.5" hidden="false" customHeight="true" outlineLevel="0" collapsed="false"/>
    <row r="144" customFormat="false" ht="13.5" hidden="false" customHeight="true" outlineLevel="0" collapsed="false"/>
    <row r="145" customFormat="false" ht="13.5" hidden="false" customHeight="true" outlineLevel="0" collapsed="false"/>
    <row r="146" customFormat="false" ht="13.5" hidden="false" customHeight="true" outlineLevel="0" collapsed="false"/>
    <row r="147" customFormat="false" ht="13.5" hidden="false" customHeight="true" outlineLevel="0" collapsed="false"/>
    <row r="148" customFormat="false" ht="13.5" hidden="false" customHeight="true" outlineLevel="0" collapsed="false"/>
    <row r="149" customFormat="false" ht="13.5" hidden="false" customHeight="true" outlineLevel="0" collapsed="false"/>
    <row r="150" customFormat="false" ht="13.5" hidden="false" customHeight="true" outlineLevel="0" collapsed="false"/>
    <row r="151" customFormat="false" ht="13.5" hidden="false" customHeight="true" outlineLevel="0" collapsed="false"/>
    <row r="152" customFormat="false" ht="13.5" hidden="false" customHeight="true" outlineLevel="0" collapsed="false"/>
    <row r="153" customFormat="false" ht="13.5" hidden="false" customHeight="true" outlineLevel="0" collapsed="false"/>
    <row r="154" customFormat="false" ht="13.5" hidden="false" customHeight="true" outlineLevel="0" collapsed="false"/>
    <row r="155" customFormat="false" ht="13.5" hidden="false" customHeight="true" outlineLevel="0" collapsed="false"/>
    <row r="156" customFormat="false" ht="13.5" hidden="false" customHeight="true" outlineLevel="0" collapsed="false"/>
    <row r="157" customFormat="false" ht="13.5" hidden="false" customHeight="true" outlineLevel="0" collapsed="false"/>
    <row r="158" customFormat="false" ht="13.5" hidden="false" customHeight="true" outlineLevel="0" collapsed="false"/>
    <row r="159" customFormat="false" ht="13.5" hidden="false" customHeight="true" outlineLevel="0" collapsed="false"/>
    <row r="160" customFormat="false" ht="13.5" hidden="false" customHeight="true" outlineLevel="0" collapsed="false"/>
    <row r="161" customFormat="false" ht="13.5" hidden="false" customHeight="true" outlineLevel="0" collapsed="false"/>
    <row r="162" customFormat="false" ht="13.5" hidden="false" customHeight="true" outlineLevel="0" collapsed="false"/>
    <row r="163" customFormat="false" ht="13.5" hidden="false" customHeight="true" outlineLevel="0" collapsed="false"/>
    <row r="164" customFormat="false" ht="13.5" hidden="false" customHeight="true" outlineLevel="0" collapsed="false"/>
    <row r="165" customFormat="false" ht="13.5" hidden="false" customHeight="true" outlineLevel="0" collapsed="false"/>
    <row r="166" customFormat="false" ht="13.5" hidden="false" customHeight="true" outlineLevel="0" collapsed="false"/>
    <row r="167" customFormat="false" ht="13.5" hidden="false" customHeight="true" outlineLevel="0" collapsed="false"/>
    <row r="168" customFormat="false" ht="13.5" hidden="false" customHeight="true" outlineLevel="0" collapsed="false"/>
    <row r="169" customFormat="false" ht="13.5" hidden="false" customHeight="true" outlineLevel="0" collapsed="false"/>
    <row r="170" customFormat="false" ht="13.5" hidden="false" customHeight="true" outlineLevel="0" collapsed="false"/>
    <row r="171" customFormat="false" ht="13.5" hidden="false" customHeight="true" outlineLevel="0" collapsed="false"/>
    <row r="172" customFormat="false" ht="13.5" hidden="false" customHeight="true" outlineLevel="0" collapsed="false"/>
    <row r="173" customFormat="false" ht="13.5" hidden="false" customHeight="true" outlineLevel="0" collapsed="false"/>
    <row r="174" customFormat="false" ht="13.5" hidden="false" customHeight="true" outlineLevel="0" collapsed="false"/>
    <row r="175" customFormat="false" ht="13.5" hidden="false" customHeight="true" outlineLevel="0" collapsed="false"/>
    <row r="176" customFormat="false" ht="13.5" hidden="false" customHeight="true" outlineLevel="0" collapsed="false"/>
    <row r="177" customFormat="false" ht="13.5" hidden="false" customHeight="true" outlineLevel="0" collapsed="false"/>
    <row r="178" customFormat="false" ht="13.5" hidden="false" customHeight="true" outlineLevel="0" collapsed="false"/>
    <row r="179" customFormat="false" ht="13.5" hidden="false" customHeight="true" outlineLevel="0" collapsed="false"/>
    <row r="180" customFormat="false" ht="13.5" hidden="false" customHeight="true" outlineLevel="0" collapsed="false"/>
    <row r="181" customFormat="false" ht="13.5" hidden="false" customHeight="true" outlineLevel="0" collapsed="false"/>
    <row r="182" customFormat="false" ht="13.5" hidden="false" customHeight="true" outlineLevel="0" collapsed="false"/>
    <row r="183" customFormat="false" ht="13.5" hidden="false" customHeight="true" outlineLevel="0" collapsed="false"/>
    <row r="184" customFormat="false" ht="13.5" hidden="false" customHeight="true" outlineLevel="0" collapsed="false"/>
    <row r="185" customFormat="false" ht="13.5" hidden="false" customHeight="true" outlineLevel="0" collapsed="false"/>
    <row r="186" customFormat="false" ht="13.5" hidden="false" customHeight="true" outlineLevel="0" collapsed="false"/>
    <row r="187" customFormat="false" ht="13.5" hidden="false" customHeight="true" outlineLevel="0" collapsed="false"/>
    <row r="188" customFormat="false" ht="13.5" hidden="false" customHeight="true" outlineLevel="0" collapsed="false"/>
    <row r="189" customFormat="false" ht="13.5" hidden="false" customHeight="true" outlineLevel="0" collapsed="false"/>
    <row r="190" customFormat="false" ht="13.5" hidden="false" customHeight="true" outlineLevel="0" collapsed="false"/>
    <row r="191" customFormat="false" ht="13.5" hidden="false" customHeight="true" outlineLevel="0" collapsed="false"/>
    <row r="192" customFormat="false" ht="13.5" hidden="false" customHeight="true" outlineLevel="0" collapsed="false"/>
    <row r="193" customFormat="false" ht="13.5" hidden="false" customHeight="true" outlineLevel="0" collapsed="false"/>
    <row r="194" customFormat="false" ht="13.5" hidden="false" customHeight="true" outlineLevel="0" collapsed="false"/>
    <row r="195" customFormat="false" ht="13.5" hidden="false" customHeight="true" outlineLevel="0" collapsed="false"/>
    <row r="196" customFormat="false" ht="13.5" hidden="false" customHeight="true" outlineLevel="0" collapsed="false"/>
    <row r="197" customFormat="false" ht="13.5" hidden="false" customHeight="true" outlineLevel="0" collapsed="false"/>
    <row r="198" customFormat="false" ht="13.5" hidden="false" customHeight="true" outlineLevel="0" collapsed="false"/>
    <row r="199" customFormat="false" ht="13.5" hidden="false" customHeight="true" outlineLevel="0" collapsed="false"/>
    <row r="200" customFormat="false" ht="13.5" hidden="false" customHeight="true" outlineLevel="0" collapsed="false"/>
    <row r="201" customFormat="false" ht="13.5" hidden="false" customHeight="true" outlineLevel="0" collapsed="false"/>
    <row r="202" customFormat="false" ht="13.5" hidden="false" customHeight="true" outlineLevel="0" collapsed="false"/>
    <row r="203" customFormat="false" ht="13.5" hidden="false" customHeight="true" outlineLevel="0" collapsed="false"/>
    <row r="204" customFormat="false" ht="13.5" hidden="false" customHeight="true" outlineLevel="0" collapsed="false"/>
    <row r="205" customFormat="false" ht="13.5" hidden="false" customHeight="true" outlineLevel="0" collapsed="false"/>
    <row r="206" customFormat="false" ht="13.5" hidden="false" customHeight="true" outlineLevel="0" collapsed="false"/>
    <row r="207" customFormat="false" ht="13.5" hidden="false" customHeight="true" outlineLevel="0" collapsed="false"/>
    <row r="208" customFormat="false" ht="13.5" hidden="false" customHeight="true" outlineLevel="0" collapsed="false"/>
    <row r="209" customFormat="false" ht="13.5" hidden="false" customHeight="true" outlineLevel="0" collapsed="false"/>
    <row r="210" customFormat="false" ht="13.5" hidden="false" customHeight="true" outlineLevel="0" collapsed="false"/>
    <row r="211" customFormat="false" ht="13.5" hidden="false" customHeight="true" outlineLevel="0" collapsed="false"/>
    <row r="212" customFormat="false" ht="13.5" hidden="false" customHeight="true" outlineLevel="0" collapsed="false"/>
    <row r="213" customFormat="false" ht="13.5" hidden="false" customHeight="true" outlineLevel="0" collapsed="false"/>
    <row r="214" customFormat="false" ht="13.5" hidden="false" customHeight="true" outlineLevel="0" collapsed="false"/>
    <row r="215" customFormat="false" ht="13.5" hidden="false" customHeight="true" outlineLevel="0" collapsed="false"/>
    <row r="216" customFormat="false" ht="13.5" hidden="false" customHeight="true" outlineLevel="0" collapsed="false"/>
    <row r="217" customFormat="false" ht="13.5" hidden="false" customHeight="true" outlineLevel="0" collapsed="false"/>
    <row r="218" customFormat="false" ht="13.5" hidden="false" customHeight="true" outlineLevel="0" collapsed="false"/>
    <row r="219" customFormat="false" ht="13.5" hidden="false" customHeight="true" outlineLevel="0" collapsed="false"/>
    <row r="220" customFormat="false" ht="13.5" hidden="false" customHeight="true" outlineLevel="0" collapsed="false"/>
    <row r="221" customFormat="false" ht="13.5" hidden="false" customHeight="true" outlineLevel="0" collapsed="false"/>
    <row r="222" customFormat="false" ht="13.5" hidden="false" customHeight="true" outlineLevel="0" collapsed="false"/>
    <row r="223" customFormat="false" ht="13.5" hidden="false" customHeight="true" outlineLevel="0" collapsed="false"/>
    <row r="224" customFormat="false" ht="13.5" hidden="false" customHeight="true" outlineLevel="0" collapsed="false"/>
    <row r="225" customFormat="false" ht="13.5" hidden="false" customHeight="true" outlineLevel="0" collapsed="false"/>
    <row r="226" customFormat="false" ht="13.5" hidden="false" customHeight="true" outlineLevel="0" collapsed="false"/>
    <row r="227" customFormat="false" ht="13.5" hidden="false" customHeight="true" outlineLevel="0" collapsed="false"/>
    <row r="228" customFormat="false" ht="13.5" hidden="false" customHeight="true" outlineLevel="0" collapsed="false"/>
    <row r="229" customFormat="false" ht="13.5" hidden="false" customHeight="true" outlineLevel="0" collapsed="false"/>
    <row r="230" customFormat="false" ht="13.5" hidden="false" customHeight="true" outlineLevel="0" collapsed="false"/>
    <row r="231" customFormat="false" ht="13.5" hidden="false" customHeight="true" outlineLevel="0" collapsed="false"/>
    <row r="232" customFormat="false" ht="13.5" hidden="false" customHeight="true" outlineLevel="0" collapsed="false"/>
    <row r="233" customFormat="false" ht="13.5" hidden="false" customHeight="true" outlineLevel="0" collapsed="false"/>
    <row r="234" customFormat="false" ht="13.5" hidden="false" customHeight="true" outlineLevel="0" collapsed="false"/>
    <row r="235" customFormat="false" ht="13.5" hidden="false" customHeight="true" outlineLevel="0" collapsed="false"/>
    <row r="236" customFormat="false" ht="13.5" hidden="false" customHeight="true" outlineLevel="0" collapsed="false"/>
    <row r="237" customFormat="false" ht="13.5" hidden="false" customHeight="true" outlineLevel="0" collapsed="false"/>
    <row r="238" customFormat="false" ht="13.5" hidden="false" customHeight="true" outlineLevel="0" collapsed="false"/>
    <row r="239" customFormat="false" ht="13.5" hidden="false" customHeight="true" outlineLevel="0" collapsed="false"/>
    <row r="240" customFormat="false" ht="13.5" hidden="false" customHeight="true" outlineLevel="0" collapsed="false"/>
    <row r="241" customFormat="false" ht="13.5" hidden="false" customHeight="true" outlineLevel="0" collapsed="false"/>
    <row r="242" customFormat="false" ht="13.5" hidden="false" customHeight="true" outlineLevel="0" collapsed="false"/>
    <row r="243" customFormat="false" ht="13.5" hidden="false" customHeight="true" outlineLevel="0" collapsed="false"/>
    <row r="244" customFormat="false" ht="13.5" hidden="false" customHeight="true" outlineLevel="0" collapsed="false"/>
    <row r="245" customFormat="false" ht="13.5" hidden="false" customHeight="true" outlineLevel="0" collapsed="false"/>
    <row r="246" customFormat="false" ht="13.5" hidden="false" customHeight="true" outlineLevel="0" collapsed="false"/>
    <row r="247" customFormat="false" ht="13.5" hidden="false" customHeight="true" outlineLevel="0" collapsed="false"/>
    <row r="248" customFormat="false" ht="13.5" hidden="false" customHeight="true" outlineLevel="0" collapsed="false"/>
    <row r="249" customFormat="false" ht="13.5" hidden="false" customHeight="true" outlineLevel="0" collapsed="false"/>
    <row r="250" customFormat="false" ht="13.5" hidden="false" customHeight="true" outlineLevel="0" collapsed="false"/>
    <row r="251" customFormat="false" ht="13.5" hidden="false" customHeight="true" outlineLevel="0" collapsed="false"/>
    <row r="252" customFormat="false" ht="13.5" hidden="false" customHeight="true" outlineLevel="0" collapsed="false"/>
    <row r="253" customFormat="false" ht="13.5" hidden="false" customHeight="true" outlineLevel="0" collapsed="false"/>
    <row r="254" customFormat="false" ht="13.5" hidden="false" customHeight="true" outlineLevel="0" collapsed="false"/>
    <row r="255" customFormat="false" ht="13.5" hidden="false" customHeight="true" outlineLevel="0" collapsed="false"/>
    <row r="256" customFormat="false" ht="13.5" hidden="false" customHeight="true" outlineLevel="0" collapsed="false"/>
    <row r="257" customFormat="false" ht="13.5" hidden="false" customHeight="true" outlineLevel="0" collapsed="false"/>
    <row r="258" customFormat="false" ht="13.5" hidden="false" customHeight="true" outlineLevel="0" collapsed="false"/>
    <row r="259" customFormat="false" ht="13.5" hidden="false" customHeight="true" outlineLevel="0" collapsed="false"/>
    <row r="260" customFormat="false" ht="13.5" hidden="false" customHeight="true" outlineLevel="0" collapsed="false"/>
    <row r="261" customFormat="false" ht="13.5" hidden="false" customHeight="true" outlineLevel="0" collapsed="false"/>
    <row r="262" customFormat="false" ht="13.5" hidden="false" customHeight="true" outlineLevel="0" collapsed="false"/>
    <row r="263" customFormat="false" ht="13.5" hidden="false" customHeight="true" outlineLevel="0" collapsed="false"/>
    <row r="264" customFormat="false" ht="13.5" hidden="false" customHeight="true" outlineLevel="0" collapsed="false"/>
    <row r="265" customFormat="false" ht="13.5" hidden="false" customHeight="true" outlineLevel="0" collapsed="false"/>
    <row r="266" customFormat="false" ht="13.5" hidden="false" customHeight="true" outlineLevel="0" collapsed="false"/>
    <row r="267" customFormat="false" ht="13.5" hidden="false" customHeight="true" outlineLevel="0" collapsed="false"/>
    <row r="268" customFormat="false" ht="13.5" hidden="false" customHeight="true" outlineLevel="0" collapsed="false"/>
    <row r="269" customFormat="false" ht="13.5" hidden="false" customHeight="true" outlineLevel="0" collapsed="false"/>
    <row r="270" customFormat="false" ht="13.5" hidden="false" customHeight="true" outlineLevel="0" collapsed="false"/>
    <row r="271" customFormat="false" ht="13.5" hidden="false" customHeight="true" outlineLevel="0" collapsed="false"/>
    <row r="272" customFormat="false" ht="13.5" hidden="false" customHeight="true" outlineLevel="0" collapsed="false"/>
    <row r="273" customFormat="false" ht="13.5" hidden="false" customHeight="true" outlineLevel="0" collapsed="false"/>
    <row r="274" customFormat="false" ht="13.5" hidden="false" customHeight="true" outlineLevel="0" collapsed="false"/>
    <row r="275" customFormat="false" ht="13.5" hidden="false" customHeight="true" outlineLevel="0" collapsed="false"/>
    <row r="276" customFormat="false" ht="13.5" hidden="false" customHeight="true" outlineLevel="0" collapsed="false"/>
    <row r="277" customFormat="false" ht="13.5" hidden="false" customHeight="true" outlineLevel="0" collapsed="false"/>
    <row r="278" customFormat="false" ht="13.5" hidden="false" customHeight="true" outlineLevel="0" collapsed="false"/>
    <row r="279" customFormat="false" ht="13.5" hidden="false" customHeight="true" outlineLevel="0" collapsed="false"/>
    <row r="280" customFormat="false" ht="13.5" hidden="false" customHeight="true" outlineLevel="0" collapsed="false"/>
    <row r="281" customFormat="false" ht="13.5" hidden="false" customHeight="true" outlineLevel="0" collapsed="false"/>
    <row r="282" customFormat="false" ht="13.5" hidden="false" customHeight="true" outlineLevel="0" collapsed="false"/>
    <row r="283" customFormat="false" ht="13.5" hidden="false" customHeight="true" outlineLevel="0" collapsed="false"/>
    <row r="284" customFormat="false" ht="13.5" hidden="false" customHeight="true" outlineLevel="0" collapsed="false"/>
    <row r="285" customFormat="false" ht="13.5" hidden="false" customHeight="true" outlineLevel="0" collapsed="false"/>
    <row r="286" customFormat="false" ht="13.5" hidden="false" customHeight="true" outlineLevel="0" collapsed="false"/>
    <row r="287" customFormat="false" ht="13.5" hidden="false" customHeight="true" outlineLevel="0" collapsed="false"/>
    <row r="288" customFormat="false" ht="13.5" hidden="false" customHeight="true" outlineLevel="0" collapsed="false"/>
    <row r="289" customFormat="false" ht="13.5" hidden="false" customHeight="true" outlineLevel="0" collapsed="false"/>
    <row r="290" customFormat="false" ht="13.5" hidden="false" customHeight="true" outlineLevel="0" collapsed="false"/>
    <row r="291" customFormat="false" ht="13.5" hidden="false" customHeight="true" outlineLevel="0" collapsed="false"/>
    <row r="292" customFormat="false" ht="13.5" hidden="false" customHeight="true" outlineLevel="0" collapsed="false"/>
    <row r="293" customFormat="false" ht="13.5" hidden="false" customHeight="true" outlineLevel="0" collapsed="false"/>
    <row r="294" customFormat="false" ht="13.5" hidden="false" customHeight="true" outlineLevel="0" collapsed="false"/>
    <row r="295" customFormat="false" ht="13.5" hidden="false" customHeight="true" outlineLevel="0" collapsed="false"/>
    <row r="296" customFormat="false" ht="13.5" hidden="false" customHeight="true" outlineLevel="0" collapsed="false"/>
    <row r="297" customFormat="false" ht="13.5" hidden="false" customHeight="true" outlineLevel="0" collapsed="false"/>
    <row r="298" customFormat="false" ht="13.5" hidden="false" customHeight="true" outlineLevel="0" collapsed="false"/>
    <row r="299" customFormat="false" ht="13.5" hidden="false" customHeight="true" outlineLevel="0" collapsed="false"/>
    <row r="300" customFormat="false" ht="13.5" hidden="false" customHeight="true" outlineLevel="0" collapsed="false"/>
    <row r="301" customFormat="false" ht="13.5" hidden="false" customHeight="true" outlineLevel="0" collapsed="false"/>
    <row r="302" customFormat="false" ht="13.5" hidden="false" customHeight="true" outlineLevel="0" collapsed="false"/>
    <row r="303" customFormat="false" ht="13.5" hidden="false" customHeight="true" outlineLevel="0" collapsed="false"/>
    <row r="304" customFormat="false" ht="13.5" hidden="false" customHeight="true" outlineLevel="0" collapsed="false"/>
    <row r="305" customFormat="false" ht="13.5" hidden="false" customHeight="true" outlineLevel="0" collapsed="false"/>
    <row r="306" customFormat="false" ht="13.5" hidden="false" customHeight="true" outlineLevel="0" collapsed="false"/>
    <row r="307" customFormat="false" ht="13.5" hidden="false" customHeight="true" outlineLevel="0" collapsed="false"/>
    <row r="308" customFormat="false" ht="13.5" hidden="false" customHeight="true" outlineLevel="0" collapsed="false"/>
    <row r="309" customFormat="false" ht="13.5" hidden="false" customHeight="true" outlineLevel="0" collapsed="false"/>
    <row r="310" customFormat="false" ht="13.5" hidden="false" customHeight="true" outlineLevel="0" collapsed="false"/>
    <row r="311" customFormat="false" ht="13.5" hidden="false" customHeight="true" outlineLevel="0" collapsed="false"/>
    <row r="312" customFormat="false" ht="13.5" hidden="false" customHeight="true" outlineLevel="0" collapsed="false"/>
    <row r="313" customFormat="false" ht="13.5" hidden="false" customHeight="true" outlineLevel="0" collapsed="false"/>
    <row r="314" customFormat="false" ht="13.5" hidden="false" customHeight="true" outlineLevel="0" collapsed="false"/>
    <row r="315" customFormat="false" ht="13.5" hidden="false" customHeight="true" outlineLevel="0" collapsed="false"/>
    <row r="316" customFormat="false" ht="13.5" hidden="false" customHeight="true" outlineLevel="0" collapsed="false"/>
    <row r="317" customFormat="false" ht="13.5" hidden="false" customHeight="true" outlineLevel="0" collapsed="false"/>
    <row r="318" customFormat="false" ht="13.5" hidden="false" customHeight="true" outlineLevel="0" collapsed="false"/>
    <row r="319" customFormat="false" ht="13.5" hidden="false" customHeight="true" outlineLevel="0" collapsed="false"/>
    <row r="320" customFormat="false" ht="13.5" hidden="false" customHeight="true" outlineLevel="0" collapsed="false"/>
    <row r="321" customFormat="false" ht="13.5" hidden="false" customHeight="true" outlineLevel="0" collapsed="false"/>
    <row r="322" customFormat="false" ht="13.5" hidden="false" customHeight="true" outlineLevel="0" collapsed="false"/>
    <row r="323" customFormat="false" ht="13.5" hidden="false" customHeight="true" outlineLevel="0" collapsed="false"/>
    <row r="324" customFormat="false" ht="13.5" hidden="false" customHeight="true" outlineLevel="0" collapsed="false"/>
    <row r="325" customFormat="false" ht="13.5" hidden="false" customHeight="true" outlineLevel="0" collapsed="false"/>
    <row r="326" customFormat="false" ht="13.5" hidden="false" customHeight="true" outlineLevel="0" collapsed="false"/>
    <row r="327" customFormat="false" ht="13.5" hidden="false" customHeight="true" outlineLevel="0" collapsed="false"/>
    <row r="328" customFormat="false" ht="13.5" hidden="false" customHeight="true" outlineLevel="0" collapsed="false"/>
    <row r="329" customFormat="false" ht="13.5" hidden="false" customHeight="true" outlineLevel="0" collapsed="false"/>
    <row r="330" customFormat="false" ht="13.5" hidden="false" customHeight="true" outlineLevel="0" collapsed="false"/>
    <row r="331" customFormat="false" ht="13.5" hidden="false" customHeight="true" outlineLevel="0" collapsed="false"/>
    <row r="332" customFormat="false" ht="13.5" hidden="false" customHeight="true" outlineLevel="0" collapsed="false"/>
    <row r="333" customFormat="false" ht="13.5" hidden="false" customHeight="true" outlineLevel="0" collapsed="false"/>
    <row r="334" customFormat="false" ht="13.5" hidden="false" customHeight="true" outlineLevel="0" collapsed="false"/>
    <row r="335" customFormat="false" ht="13.5" hidden="false" customHeight="true" outlineLevel="0" collapsed="false"/>
    <row r="336" customFormat="false" ht="13.5" hidden="false" customHeight="true" outlineLevel="0" collapsed="false"/>
    <row r="337" customFormat="false" ht="13.5" hidden="false" customHeight="true" outlineLevel="0" collapsed="false"/>
    <row r="338" customFormat="false" ht="13.5" hidden="false" customHeight="true" outlineLevel="0" collapsed="false"/>
    <row r="339" customFormat="false" ht="13.5" hidden="false" customHeight="true" outlineLevel="0" collapsed="false"/>
    <row r="340" customFormat="false" ht="13.5" hidden="false" customHeight="true" outlineLevel="0" collapsed="false"/>
    <row r="341" customFormat="false" ht="13.5" hidden="false" customHeight="true" outlineLevel="0" collapsed="false"/>
    <row r="342" customFormat="false" ht="13.5" hidden="false" customHeight="true" outlineLevel="0" collapsed="false"/>
    <row r="343" customFormat="false" ht="13.5" hidden="false" customHeight="true" outlineLevel="0" collapsed="false"/>
    <row r="344" customFormat="false" ht="13.5" hidden="false" customHeight="true" outlineLevel="0" collapsed="false"/>
    <row r="345" customFormat="false" ht="13.5" hidden="false" customHeight="true" outlineLevel="0" collapsed="false"/>
    <row r="346" customFormat="false" ht="13.5" hidden="false" customHeight="true" outlineLevel="0" collapsed="false"/>
    <row r="347" customFormat="false" ht="13.5" hidden="false" customHeight="true" outlineLevel="0" collapsed="false"/>
    <row r="348" customFormat="false" ht="13.5" hidden="false" customHeight="true" outlineLevel="0" collapsed="false"/>
    <row r="349" customFormat="false" ht="13.5" hidden="false" customHeight="true" outlineLevel="0" collapsed="false"/>
    <row r="350" customFormat="false" ht="13.5" hidden="false" customHeight="true" outlineLevel="0" collapsed="false"/>
    <row r="351" customFormat="false" ht="13.5" hidden="false" customHeight="true" outlineLevel="0" collapsed="false"/>
    <row r="352" customFormat="false" ht="13.5" hidden="false" customHeight="true" outlineLevel="0" collapsed="false"/>
    <row r="353" customFormat="false" ht="13.5" hidden="false" customHeight="true" outlineLevel="0" collapsed="false"/>
    <row r="354" customFormat="false" ht="13.5" hidden="false" customHeight="true" outlineLevel="0" collapsed="false"/>
    <row r="355" customFormat="false" ht="13.5" hidden="false" customHeight="true" outlineLevel="0" collapsed="false"/>
    <row r="356" customFormat="false" ht="13.5" hidden="false" customHeight="true" outlineLevel="0" collapsed="false"/>
    <row r="357" customFormat="false" ht="13.5" hidden="false" customHeight="true" outlineLevel="0" collapsed="false"/>
    <row r="358" customFormat="false" ht="13.5" hidden="false" customHeight="true" outlineLevel="0" collapsed="false"/>
    <row r="359" customFormat="false" ht="13.5" hidden="false" customHeight="true" outlineLevel="0" collapsed="false"/>
    <row r="360" customFormat="false" ht="13.5" hidden="false" customHeight="true" outlineLevel="0" collapsed="false"/>
    <row r="361" customFormat="false" ht="13.5" hidden="false" customHeight="true" outlineLevel="0" collapsed="false"/>
    <row r="362" customFormat="false" ht="13.5" hidden="false" customHeight="true" outlineLevel="0" collapsed="false"/>
    <row r="363" customFormat="false" ht="13.5" hidden="false" customHeight="true" outlineLevel="0" collapsed="false"/>
    <row r="364" customFormat="false" ht="13.5" hidden="false" customHeight="true" outlineLevel="0" collapsed="false"/>
    <row r="365" customFormat="false" ht="13.5" hidden="false" customHeight="true" outlineLevel="0" collapsed="false"/>
    <row r="366" customFormat="false" ht="13.5" hidden="false" customHeight="true" outlineLevel="0" collapsed="false"/>
    <row r="367" customFormat="false" ht="13.5" hidden="false" customHeight="true" outlineLevel="0" collapsed="false"/>
    <row r="368" customFormat="false" ht="13.5" hidden="false" customHeight="true" outlineLevel="0" collapsed="false"/>
    <row r="369" customFormat="false" ht="13.5" hidden="false" customHeight="true" outlineLevel="0" collapsed="false"/>
    <row r="370" customFormat="false" ht="13.5" hidden="false" customHeight="true" outlineLevel="0" collapsed="false"/>
    <row r="371" customFormat="false" ht="13.5" hidden="false" customHeight="true" outlineLevel="0" collapsed="false"/>
    <row r="372" customFormat="false" ht="13.5" hidden="false" customHeight="true" outlineLevel="0" collapsed="false"/>
    <row r="373" customFormat="false" ht="13.5" hidden="false" customHeight="true" outlineLevel="0" collapsed="false"/>
    <row r="374" customFormat="false" ht="13.5" hidden="false" customHeight="true" outlineLevel="0" collapsed="false"/>
    <row r="375" customFormat="false" ht="13.5" hidden="false" customHeight="true" outlineLevel="0" collapsed="false"/>
    <row r="376" customFormat="false" ht="13.5" hidden="false" customHeight="true" outlineLevel="0" collapsed="false"/>
    <row r="377" customFormat="false" ht="13.5" hidden="false" customHeight="true" outlineLevel="0" collapsed="false"/>
    <row r="378" customFormat="false" ht="13.5" hidden="false" customHeight="true" outlineLevel="0" collapsed="false"/>
    <row r="379" customFormat="false" ht="13.5" hidden="false" customHeight="true" outlineLevel="0" collapsed="false"/>
    <row r="380" customFormat="false" ht="13.5" hidden="false" customHeight="true" outlineLevel="0" collapsed="false"/>
    <row r="381" customFormat="false" ht="13.5" hidden="false" customHeight="true" outlineLevel="0" collapsed="false"/>
    <row r="382" customFormat="false" ht="13.5" hidden="false" customHeight="true" outlineLevel="0" collapsed="false"/>
    <row r="383" customFormat="false" ht="13.5" hidden="false" customHeight="true" outlineLevel="0" collapsed="false"/>
    <row r="384" customFormat="false" ht="13.5" hidden="false" customHeight="true" outlineLevel="0" collapsed="false"/>
    <row r="385" customFormat="false" ht="13.5" hidden="false" customHeight="true" outlineLevel="0" collapsed="false"/>
    <row r="386" customFormat="false" ht="13.5" hidden="false" customHeight="true" outlineLevel="0" collapsed="false"/>
    <row r="387" customFormat="false" ht="13.5" hidden="false" customHeight="true" outlineLevel="0" collapsed="false"/>
    <row r="388" customFormat="false" ht="13.5" hidden="false" customHeight="true" outlineLevel="0" collapsed="false"/>
    <row r="389" customFormat="false" ht="13.5" hidden="false" customHeight="true" outlineLevel="0" collapsed="false"/>
    <row r="390" customFormat="false" ht="13.5" hidden="false" customHeight="true" outlineLevel="0" collapsed="false"/>
    <row r="391" customFormat="false" ht="13.5" hidden="false" customHeight="true" outlineLevel="0" collapsed="false"/>
    <row r="392" customFormat="false" ht="13.5" hidden="false" customHeight="true" outlineLevel="0" collapsed="false"/>
    <row r="393" customFormat="false" ht="13.5" hidden="false" customHeight="true" outlineLevel="0" collapsed="false"/>
    <row r="394" customFormat="false" ht="13.5" hidden="false" customHeight="true" outlineLevel="0" collapsed="false"/>
    <row r="395" customFormat="false" ht="13.5" hidden="false" customHeight="true" outlineLevel="0" collapsed="false"/>
    <row r="396" customFormat="false" ht="13.5" hidden="false" customHeight="true" outlineLevel="0" collapsed="false"/>
    <row r="397" customFormat="false" ht="13.5" hidden="false" customHeight="true" outlineLevel="0" collapsed="false"/>
    <row r="398" customFormat="false" ht="13.5" hidden="false" customHeight="true" outlineLevel="0" collapsed="false"/>
    <row r="399" customFormat="false" ht="13.5" hidden="false" customHeight="true" outlineLevel="0" collapsed="false"/>
    <row r="400" customFormat="false" ht="13.5" hidden="false" customHeight="true" outlineLevel="0" collapsed="false"/>
    <row r="401" customFormat="false" ht="13.5" hidden="false" customHeight="true" outlineLevel="0" collapsed="false"/>
    <row r="402" customFormat="false" ht="13.5" hidden="false" customHeight="true" outlineLevel="0" collapsed="false"/>
    <row r="403" customFormat="false" ht="13.5" hidden="false" customHeight="true" outlineLevel="0" collapsed="false"/>
    <row r="404" customFormat="false" ht="13.5" hidden="false" customHeight="true" outlineLevel="0" collapsed="false"/>
    <row r="405" customFormat="false" ht="13.5" hidden="false" customHeight="true" outlineLevel="0" collapsed="false"/>
    <row r="406" customFormat="false" ht="13.5" hidden="false" customHeight="true" outlineLevel="0" collapsed="false"/>
    <row r="407" customFormat="false" ht="13.5" hidden="false" customHeight="true" outlineLevel="0" collapsed="false"/>
    <row r="408" customFormat="false" ht="13.5" hidden="false" customHeight="true" outlineLevel="0" collapsed="false"/>
    <row r="409" customFormat="false" ht="13.5" hidden="false" customHeight="true" outlineLevel="0" collapsed="false"/>
    <row r="410" customFormat="false" ht="13.5" hidden="false" customHeight="true" outlineLevel="0" collapsed="false"/>
    <row r="411" customFormat="false" ht="13.5" hidden="false" customHeight="true" outlineLevel="0" collapsed="false"/>
    <row r="412" customFormat="false" ht="13.5" hidden="false" customHeight="true" outlineLevel="0" collapsed="false"/>
    <row r="413" customFormat="false" ht="13.5" hidden="false" customHeight="true" outlineLevel="0" collapsed="false"/>
    <row r="414" customFormat="false" ht="13.5" hidden="false" customHeight="true" outlineLevel="0" collapsed="false"/>
    <row r="415" customFormat="false" ht="13.5" hidden="false" customHeight="true" outlineLevel="0" collapsed="false"/>
    <row r="416" customFormat="false" ht="13.5" hidden="false" customHeight="true" outlineLevel="0" collapsed="false"/>
    <row r="417" customFormat="false" ht="13.5" hidden="false" customHeight="true" outlineLevel="0" collapsed="false"/>
    <row r="418" customFormat="false" ht="13.5" hidden="false" customHeight="true" outlineLevel="0" collapsed="false"/>
    <row r="419" customFormat="false" ht="13.5" hidden="false" customHeight="true" outlineLevel="0" collapsed="false"/>
    <row r="420" customFormat="false" ht="13.5" hidden="false" customHeight="true" outlineLevel="0" collapsed="false"/>
    <row r="421" customFormat="false" ht="13.5" hidden="false" customHeight="true" outlineLevel="0" collapsed="false"/>
    <row r="422" customFormat="false" ht="13.5" hidden="false" customHeight="true" outlineLevel="0" collapsed="false"/>
    <row r="423" customFormat="false" ht="13.5" hidden="false" customHeight="true" outlineLevel="0" collapsed="false"/>
    <row r="424" customFormat="false" ht="13.5" hidden="false" customHeight="true" outlineLevel="0" collapsed="false"/>
    <row r="425" customFormat="false" ht="13.5" hidden="false" customHeight="true" outlineLevel="0" collapsed="false"/>
    <row r="426" customFormat="false" ht="13.5" hidden="false" customHeight="true" outlineLevel="0" collapsed="false"/>
    <row r="427" customFormat="false" ht="13.5" hidden="false" customHeight="true" outlineLevel="0" collapsed="false"/>
    <row r="428" customFormat="false" ht="13.5" hidden="false" customHeight="true" outlineLevel="0" collapsed="false"/>
    <row r="429" customFormat="false" ht="13.5" hidden="false" customHeight="true" outlineLevel="0" collapsed="false"/>
    <row r="430" customFormat="false" ht="13.5" hidden="false" customHeight="true" outlineLevel="0" collapsed="false"/>
    <row r="431" customFormat="false" ht="13.5" hidden="false" customHeight="true" outlineLevel="0" collapsed="false"/>
    <row r="432" customFormat="false" ht="13.5" hidden="false" customHeight="true" outlineLevel="0" collapsed="false"/>
    <row r="433" customFormat="false" ht="13.5" hidden="false" customHeight="true" outlineLevel="0" collapsed="false"/>
    <row r="434" customFormat="false" ht="13.5" hidden="false" customHeight="true" outlineLevel="0" collapsed="false"/>
    <row r="435" customFormat="false" ht="13.5" hidden="false" customHeight="true" outlineLevel="0" collapsed="false"/>
    <row r="436" customFormat="false" ht="13.5" hidden="false" customHeight="true" outlineLevel="0" collapsed="false"/>
    <row r="437" customFormat="false" ht="13.5" hidden="false" customHeight="true" outlineLevel="0" collapsed="false"/>
    <row r="438" customFormat="false" ht="13.5" hidden="false" customHeight="true" outlineLevel="0" collapsed="false"/>
    <row r="439" customFormat="false" ht="13.5" hidden="false" customHeight="true" outlineLevel="0" collapsed="false"/>
    <row r="440" customFormat="false" ht="13.5" hidden="false" customHeight="true" outlineLevel="0" collapsed="false"/>
    <row r="441" customFormat="false" ht="13.5" hidden="false" customHeight="true" outlineLevel="0" collapsed="false"/>
    <row r="442" customFormat="false" ht="13.5" hidden="false" customHeight="true" outlineLevel="0" collapsed="false"/>
    <row r="443" customFormat="false" ht="13.5" hidden="false" customHeight="true" outlineLevel="0" collapsed="false"/>
    <row r="444" customFormat="false" ht="13.5" hidden="false" customHeight="true" outlineLevel="0" collapsed="false"/>
    <row r="445" customFormat="false" ht="13.5" hidden="false" customHeight="true" outlineLevel="0" collapsed="false"/>
    <row r="446" customFormat="false" ht="13.5" hidden="false" customHeight="true" outlineLevel="0" collapsed="false"/>
    <row r="447" customFormat="false" ht="13.5" hidden="false" customHeight="true" outlineLevel="0" collapsed="false"/>
    <row r="448" customFormat="false" ht="13.5" hidden="false" customHeight="true" outlineLevel="0" collapsed="false"/>
    <row r="449" customFormat="false" ht="13.5" hidden="false" customHeight="true" outlineLevel="0" collapsed="false"/>
    <row r="450" customFormat="false" ht="13.5" hidden="false" customHeight="true" outlineLevel="0" collapsed="false"/>
    <row r="451" customFormat="false" ht="13.5" hidden="false" customHeight="true" outlineLevel="0" collapsed="false"/>
    <row r="452" customFormat="false" ht="13.5" hidden="false" customHeight="true" outlineLevel="0" collapsed="false"/>
    <row r="453" customFormat="false" ht="13.5" hidden="false" customHeight="true" outlineLevel="0" collapsed="false"/>
    <row r="454" customFormat="false" ht="13.5" hidden="false" customHeight="true" outlineLevel="0" collapsed="false"/>
    <row r="455" customFormat="false" ht="13.5" hidden="false" customHeight="true" outlineLevel="0" collapsed="false"/>
    <row r="456" customFormat="false" ht="13.5" hidden="false" customHeight="true" outlineLevel="0" collapsed="false"/>
    <row r="457" customFormat="false" ht="13.5" hidden="false" customHeight="true" outlineLevel="0" collapsed="false"/>
    <row r="458" customFormat="false" ht="13.5" hidden="false" customHeight="true" outlineLevel="0" collapsed="false"/>
    <row r="459" customFormat="false" ht="13.5" hidden="false" customHeight="true" outlineLevel="0" collapsed="false"/>
    <row r="460" customFormat="false" ht="13.5" hidden="false" customHeight="true" outlineLevel="0" collapsed="false"/>
    <row r="461" customFormat="false" ht="13.5" hidden="false" customHeight="true" outlineLevel="0" collapsed="false"/>
    <row r="462" customFormat="false" ht="13.5" hidden="false" customHeight="true" outlineLevel="0" collapsed="false"/>
    <row r="463" customFormat="false" ht="13.5" hidden="false" customHeight="true" outlineLevel="0" collapsed="false"/>
    <row r="464" customFormat="false" ht="13.5" hidden="false" customHeight="true" outlineLevel="0" collapsed="false"/>
    <row r="465" customFormat="false" ht="13.5" hidden="false" customHeight="true" outlineLevel="0" collapsed="false"/>
    <row r="466" customFormat="false" ht="13.5" hidden="false" customHeight="true" outlineLevel="0" collapsed="false"/>
    <row r="467" customFormat="false" ht="13.5" hidden="false" customHeight="true" outlineLevel="0" collapsed="false"/>
    <row r="468" customFormat="false" ht="13.5" hidden="false" customHeight="true" outlineLevel="0" collapsed="false"/>
    <row r="469" customFormat="false" ht="13.5" hidden="false" customHeight="true" outlineLevel="0" collapsed="false"/>
    <row r="470" customFormat="false" ht="13.5" hidden="false" customHeight="true" outlineLevel="0" collapsed="false"/>
    <row r="471" customFormat="false" ht="13.5" hidden="false" customHeight="true" outlineLevel="0" collapsed="false"/>
    <row r="472" customFormat="false" ht="13.5" hidden="false" customHeight="true" outlineLevel="0" collapsed="false"/>
    <row r="473" customFormat="false" ht="13.5" hidden="false" customHeight="true" outlineLevel="0" collapsed="false"/>
    <row r="474" customFormat="false" ht="13.5" hidden="false" customHeight="true" outlineLevel="0" collapsed="false"/>
    <row r="475" customFormat="false" ht="13.5" hidden="false" customHeight="true" outlineLevel="0" collapsed="false"/>
    <row r="476" customFormat="false" ht="13.5" hidden="false" customHeight="true" outlineLevel="0" collapsed="false"/>
    <row r="477" customFormat="false" ht="13.5" hidden="false" customHeight="true" outlineLevel="0" collapsed="false"/>
    <row r="478" customFormat="false" ht="13.5" hidden="false" customHeight="true" outlineLevel="0" collapsed="false"/>
    <row r="479" customFormat="false" ht="13.5" hidden="false" customHeight="true" outlineLevel="0" collapsed="false"/>
    <row r="480" customFormat="false" ht="13.5" hidden="false" customHeight="true" outlineLevel="0" collapsed="false"/>
    <row r="481" customFormat="false" ht="13.5" hidden="false" customHeight="true" outlineLevel="0" collapsed="false"/>
    <row r="482" customFormat="false" ht="13.5" hidden="false" customHeight="true" outlineLevel="0" collapsed="false"/>
    <row r="483" customFormat="false" ht="13.5" hidden="false" customHeight="true" outlineLevel="0" collapsed="false"/>
    <row r="484" customFormat="false" ht="13.5" hidden="false" customHeight="true" outlineLevel="0" collapsed="false"/>
    <row r="485" customFormat="false" ht="13.5" hidden="false" customHeight="true" outlineLevel="0" collapsed="false"/>
    <row r="486" customFormat="false" ht="13.5" hidden="false" customHeight="true" outlineLevel="0" collapsed="false"/>
    <row r="487" customFormat="false" ht="13.5" hidden="false" customHeight="true" outlineLevel="0" collapsed="false"/>
    <row r="488" customFormat="false" ht="13.5" hidden="false" customHeight="true" outlineLevel="0" collapsed="false"/>
    <row r="489" customFormat="false" ht="13.5" hidden="false" customHeight="true" outlineLevel="0" collapsed="false"/>
    <row r="490" customFormat="false" ht="13.5" hidden="false" customHeight="true" outlineLevel="0" collapsed="false"/>
    <row r="491" customFormat="false" ht="13.5" hidden="false" customHeight="true" outlineLevel="0" collapsed="false"/>
    <row r="492" customFormat="false" ht="13.5" hidden="false" customHeight="true" outlineLevel="0" collapsed="false"/>
    <row r="493" customFormat="false" ht="13.5" hidden="false" customHeight="true" outlineLevel="0" collapsed="false"/>
    <row r="494" customFormat="false" ht="13.5" hidden="false" customHeight="true" outlineLevel="0" collapsed="false"/>
    <row r="495" customFormat="false" ht="13.5" hidden="false" customHeight="true" outlineLevel="0" collapsed="false"/>
    <row r="496" customFormat="false" ht="13.5" hidden="false" customHeight="true" outlineLevel="0" collapsed="false"/>
    <row r="497" customFormat="false" ht="13.5" hidden="false" customHeight="true" outlineLevel="0" collapsed="false"/>
    <row r="498" customFormat="false" ht="13.5" hidden="false" customHeight="true" outlineLevel="0" collapsed="false"/>
    <row r="499" customFormat="false" ht="13.5" hidden="false" customHeight="true" outlineLevel="0" collapsed="false"/>
    <row r="500" customFormat="false" ht="13.5" hidden="false" customHeight="true" outlineLevel="0" collapsed="false"/>
    <row r="501" customFormat="false" ht="13.5" hidden="false" customHeight="true" outlineLevel="0" collapsed="false"/>
    <row r="502" customFormat="false" ht="13.5" hidden="false" customHeight="true" outlineLevel="0" collapsed="false"/>
    <row r="503" customFormat="false" ht="13.5" hidden="false" customHeight="true" outlineLevel="0" collapsed="false"/>
    <row r="504" customFormat="false" ht="13.5" hidden="false" customHeight="true" outlineLevel="0" collapsed="false"/>
    <row r="505" customFormat="false" ht="13.5" hidden="false" customHeight="true" outlineLevel="0" collapsed="false"/>
    <row r="506" customFormat="false" ht="13.5" hidden="false" customHeight="true" outlineLevel="0" collapsed="false"/>
    <row r="507" customFormat="false" ht="13.5" hidden="false" customHeight="true" outlineLevel="0" collapsed="false"/>
    <row r="508" customFormat="false" ht="13.5" hidden="false" customHeight="true" outlineLevel="0" collapsed="false"/>
    <row r="509" customFormat="false" ht="13.5" hidden="false" customHeight="true" outlineLevel="0" collapsed="false"/>
    <row r="510" customFormat="false" ht="13.5" hidden="false" customHeight="true" outlineLevel="0" collapsed="false"/>
    <row r="511" customFormat="false" ht="13.5" hidden="false" customHeight="true" outlineLevel="0" collapsed="false"/>
    <row r="512" customFormat="false" ht="13.5" hidden="false" customHeight="true" outlineLevel="0" collapsed="false"/>
    <row r="513" customFormat="false" ht="13.5" hidden="false" customHeight="true" outlineLevel="0" collapsed="false"/>
    <row r="514" customFormat="false" ht="13.5" hidden="false" customHeight="true" outlineLevel="0" collapsed="false"/>
    <row r="515" customFormat="false" ht="13.5" hidden="false" customHeight="true" outlineLevel="0" collapsed="false"/>
    <row r="516" customFormat="false" ht="13.5" hidden="false" customHeight="true" outlineLevel="0" collapsed="false"/>
    <row r="517" customFormat="false" ht="13.5" hidden="false" customHeight="true" outlineLevel="0" collapsed="false"/>
    <row r="518" customFormat="false" ht="13.5" hidden="false" customHeight="true" outlineLevel="0" collapsed="false"/>
    <row r="519" customFormat="false" ht="13.5" hidden="false" customHeight="true" outlineLevel="0" collapsed="false"/>
    <row r="520" customFormat="false" ht="13.5" hidden="false" customHeight="true" outlineLevel="0" collapsed="false"/>
    <row r="521" customFormat="false" ht="13.5" hidden="false" customHeight="true" outlineLevel="0" collapsed="false"/>
    <row r="522" customFormat="false" ht="13.5" hidden="false" customHeight="true" outlineLevel="0" collapsed="false"/>
    <row r="523" customFormat="false" ht="13.5" hidden="false" customHeight="true" outlineLevel="0" collapsed="false"/>
    <row r="524" customFormat="false" ht="13.5" hidden="false" customHeight="true" outlineLevel="0" collapsed="false"/>
    <row r="525" customFormat="false" ht="13.5" hidden="false" customHeight="true" outlineLevel="0" collapsed="false"/>
    <row r="526" customFormat="false" ht="13.5" hidden="false" customHeight="true" outlineLevel="0" collapsed="false"/>
    <row r="527" customFormat="false" ht="13.5" hidden="false" customHeight="true" outlineLevel="0" collapsed="false"/>
    <row r="528" customFormat="false" ht="13.5" hidden="false" customHeight="true" outlineLevel="0" collapsed="false"/>
    <row r="529" customFormat="false" ht="13.5" hidden="false" customHeight="true" outlineLevel="0" collapsed="false"/>
    <row r="530" customFormat="false" ht="13.5" hidden="false" customHeight="true" outlineLevel="0" collapsed="false"/>
    <row r="531" customFormat="false" ht="13.5" hidden="false" customHeight="true" outlineLevel="0" collapsed="false"/>
    <row r="532" customFormat="false" ht="13.5" hidden="false" customHeight="true" outlineLevel="0" collapsed="false"/>
    <row r="533" customFormat="false" ht="13.5" hidden="false" customHeight="true" outlineLevel="0" collapsed="false"/>
    <row r="534" customFormat="false" ht="13.5" hidden="false" customHeight="true" outlineLevel="0" collapsed="false"/>
    <row r="535" customFormat="false" ht="13.5" hidden="false" customHeight="true" outlineLevel="0" collapsed="false"/>
    <row r="536" customFormat="false" ht="13.5" hidden="false" customHeight="true" outlineLevel="0" collapsed="false"/>
    <row r="537" customFormat="false" ht="13.5" hidden="false" customHeight="true" outlineLevel="0" collapsed="false"/>
    <row r="538" customFormat="false" ht="13.5" hidden="false" customHeight="true" outlineLevel="0" collapsed="false"/>
    <row r="539" customFormat="false" ht="13.5" hidden="false" customHeight="true" outlineLevel="0" collapsed="false"/>
    <row r="540" customFormat="false" ht="13.5" hidden="false" customHeight="true" outlineLevel="0" collapsed="false"/>
    <row r="541" customFormat="false" ht="13.5" hidden="false" customHeight="true" outlineLevel="0" collapsed="false"/>
    <row r="542" customFormat="false" ht="13.5" hidden="false" customHeight="true" outlineLevel="0" collapsed="false"/>
    <row r="543" customFormat="false" ht="13.5" hidden="false" customHeight="true" outlineLevel="0" collapsed="false"/>
    <row r="544" customFormat="false" ht="13.5" hidden="false" customHeight="true" outlineLevel="0" collapsed="false"/>
    <row r="545" customFormat="false" ht="13.5" hidden="false" customHeight="true" outlineLevel="0" collapsed="false"/>
    <row r="546" customFormat="false" ht="13.5" hidden="false" customHeight="true" outlineLevel="0" collapsed="false"/>
    <row r="547" customFormat="false" ht="13.5" hidden="false" customHeight="true" outlineLevel="0" collapsed="false"/>
    <row r="548" customFormat="false" ht="13.5" hidden="false" customHeight="true" outlineLevel="0" collapsed="false"/>
    <row r="549" customFormat="false" ht="13.5" hidden="false" customHeight="true" outlineLevel="0" collapsed="false"/>
    <row r="550" customFormat="false" ht="13.5" hidden="false" customHeight="true" outlineLevel="0" collapsed="false"/>
    <row r="551" customFormat="false" ht="13.5" hidden="false" customHeight="true" outlineLevel="0" collapsed="false"/>
    <row r="552" customFormat="false" ht="13.5" hidden="false" customHeight="true" outlineLevel="0" collapsed="false"/>
    <row r="553" customFormat="false" ht="13.5" hidden="false" customHeight="true" outlineLevel="0" collapsed="false"/>
    <row r="554" customFormat="false" ht="13.5" hidden="false" customHeight="true" outlineLevel="0" collapsed="false"/>
    <row r="555" customFormat="false" ht="13.5" hidden="false" customHeight="true" outlineLevel="0" collapsed="false"/>
    <row r="556" customFormat="false" ht="13.5" hidden="false" customHeight="true" outlineLevel="0" collapsed="false"/>
    <row r="557" customFormat="false" ht="13.5" hidden="false" customHeight="true" outlineLevel="0" collapsed="false"/>
    <row r="558" customFormat="false" ht="13.5" hidden="false" customHeight="true" outlineLevel="0" collapsed="false"/>
    <row r="559" customFormat="false" ht="13.5" hidden="false" customHeight="true" outlineLevel="0" collapsed="false"/>
    <row r="560" customFormat="false" ht="13.5" hidden="false" customHeight="true" outlineLevel="0" collapsed="false"/>
    <row r="561" customFormat="false" ht="13.5" hidden="false" customHeight="true" outlineLevel="0" collapsed="false"/>
    <row r="562" customFormat="false" ht="13.5" hidden="false" customHeight="true" outlineLevel="0" collapsed="false"/>
    <row r="563" customFormat="false" ht="13.5" hidden="false" customHeight="true" outlineLevel="0" collapsed="false"/>
    <row r="564" customFormat="false" ht="13.5" hidden="false" customHeight="true" outlineLevel="0" collapsed="false"/>
    <row r="565" customFormat="false" ht="13.5" hidden="false" customHeight="true" outlineLevel="0" collapsed="false"/>
    <row r="566" customFormat="false" ht="13.5" hidden="false" customHeight="true" outlineLevel="0" collapsed="false"/>
    <row r="567" customFormat="false" ht="13.5" hidden="false" customHeight="true" outlineLevel="0" collapsed="false"/>
    <row r="568" customFormat="false" ht="13.5" hidden="false" customHeight="true" outlineLevel="0" collapsed="false"/>
    <row r="569" customFormat="false" ht="13.5" hidden="false" customHeight="true" outlineLevel="0" collapsed="false"/>
    <row r="570" customFormat="false" ht="13.5" hidden="false" customHeight="true" outlineLevel="0" collapsed="false"/>
    <row r="571" customFormat="false" ht="13.5" hidden="false" customHeight="true" outlineLevel="0" collapsed="false"/>
    <row r="572" customFormat="false" ht="13.5" hidden="false" customHeight="true" outlineLevel="0" collapsed="false"/>
    <row r="573" customFormat="false" ht="13.5" hidden="false" customHeight="true" outlineLevel="0" collapsed="false"/>
    <row r="574" customFormat="false" ht="13.5" hidden="false" customHeight="true" outlineLevel="0" collapsed="false"/>
    <row r="575" customFormat="false" ht="13.5" hidden="false" customHeight="true" outlineLevel="0" collapsed="false"/>
    <row r="576" customFormat="false" ht="13.5" hidden="false" customHeight="true" outlineLevel="0" collapsed="false"/>
    <row r="577" customFormat="false" ht="13.5" hidden="false" customHeight="true" outlineLevel="0" collapsed="false"/>
    <row r="578" customFormat="false" ht="13.5" hidden="false" customHeight="true" outlineLevel="0" collapsed="false"/>
    <row r="579" customFormat="false" ht="13.5" hidden="false" customHeight="true" outlineLevel="0" collapsed="false"/>
    <row r="580" customFormat="false" ht="13.5" hidden="false" customHeight="true" outlineLevel="0" collapsed="false"/>
    <row r="581" customFormat="false" ht="13.5" hidden="false" customHeight="true" outlineLevel="0" collapsed="false"/>
    <row r="582" customFormat="false" ht="13.5" hidden="false" customHeight="true" outlineLevel="0" collapsed="false"/>
    <row r="583" customFormat="false" ht="13.5" hidden="false" customHeight="true" outlineLevel="0" collapsed="false"/>
    <row r="584" customFormat="false" ht="13.5" hidden="false" customHeight="true" outlineLevel="0" collapsed="false"/>
    <row r="585" customFormat="false" ht="13.5" hidden="false" customHeight="true" outlineLevel="0" collapsed="false"/>
    <row r="586" customFormat="false" ht="13.5" hidden="false" customHeight="true" outlineLevel="0" collapsed="false"/>
    <row r="587" customFormat="false" ht="13.5" hidden="false" customHeight="true" outlineLevel="0" collapsed="false"/>
    <row r="588" customFormat="false" ht="13.5" hidden="false" customHeight="true" outlineLevel="0" collapsed="false"/>
    <row r="589" customFormat="false" ht="13.5" hidden="false" customHeight="true" outlineLevel="0" collapsed="false"/>
    <row r="590" customFormat="false" ht="13.5" hidden="false" customHeight="true" outlineLevel="0" collapsed="false"/>
    <row r="591" customFormat="false" ht="13.5" hidden="false" customHeight="true" outlineLevel="0" collapsed="false"/>
    <row r="592" customFormat="false" ht="13.5" hidden="false" customHeight="true" outlineLevel="0" collapsed="false"/>
    <row r="593" customFormat="false" ht="13.5" hidden="false" customHeight="true" outlineLevel="0" collapsed="false"/>
    <row r="594" customFormat="false" ht="13.5" hidden="false" customHeight="true" outlineLevel="0" collapsed="false"/>
    <row r="595" customFormat="false" ht="13.5" hidden="false" customHeight="true" outlineLevel="0" collapsed="false"/>
    <row r="596" customFormat="false" ht="13.5" hidden="false" customHeight="true" outlineLevel="0" collapsed="false"/>
    <row r="597" customFormat="false" ht="13.5" hidden="false" customHeight="true" outlineLevel="0" collapsed="false"/>
    <row r="598" customFormat="false" ht="13.5" hidden="false" customHeight="true" outlineLevel="0" collapsed="false"/>
    <row r="599" customFormat="false" ht="13.5" hidden="false" customHeight="true" outlineLevel="0" collapsed="false"/>
    <row r="600" customFormat="false" ht="13.5" hidden="false" customHeight="true" outlineLevel="0" collapsed="false"/>
    <row r="601" customFormat="false" ht="13.5" hidden="false" customHeight="true" outlineLevel="0" collapsed="false"/>
    <row r="602" customFormat="false" ht="13.5" hidden="false" customHeight="true" outlineLevel="0" collapsed="false"/>
    <row r="603" customFormat="false" ht="13.5" hidden="false" customHeight="true" outlineLevel="0" collapsed="false"/>
    <row r="604" customFormat="false" ht="13.5" hidden="false" customHeight="true" outlineLevel="0" collapsed="false"/>
    <row r="605" customFormat="false" ht="13.5" hidden="false" customHeight="true" outlineLevel="0" collapsed="false"/>
    <row r="606" customFormat="false" ht="13.5" hidden="false" customHeight="true" outlineLevel="0" collapsed="false"/>
    <row r="607" customFormat="false" ht="13.5" hidden="false" customHeight="true" outlineLevel="0" collapsed="false"/>
    <row r="608" customFormat="false" ht="13.5" hidden="false" customHeight="true" outlineLevel="0" collapsed="false"/>
    <row r="609" customFormat="false" ht="13.5" hidden="false" customHeight="true" outlineLevel="0" collapsed="false"/>
    <row r="610" customFormat="false" ht="13.5" hidden="false" customHeight="true" outlineLevel="0" collapsed="false"/>
    <row r="611" customFormat="false" ht="13.5" hidden="false" customHeight="true" outlineLevel="0" collapsed="false"/>
    <row r="612" customFormat="false" ht="13.5" hidden="false" customHeight="true" outlineLevel="0" collapsed="false"/>
    <row r="613" customFormat="false" ht="13.5" hidden="false" customHeight="true" outlineLevel="0" collapsed="false"/>
    <row r="614" customFormat="false" ht="13.5" hidden="false" customHeight="true" outlineLevel="0" collapsed="false"/>
    <row r="615" customFormat="false" ht="13.5" hidden="false" customHeight="true" outlineLevel="0" collapsed="false"/>
    <row r="616" customFormat="false" ht="13.5" hidden="false" customHeight="true" outlineLevel="0" collapsed="false"/>
    <row r="617" customFormat="false" ht="13.5" hidden="false" customHeight="true" outlineLevel="0" collapsed="false"/>
    <row r="618" customFormat="false" ht="13.5" hidden="false" customHeight="true" outlineLevel="0" collapsed="false"/>
    <row r="619" customFormat="false" ht="13.5" hidden="false" customHeight="true" outlineLevel="0" collapsed="false"/>
    <row r="620" customFormat="false" ht="13.5" hidden="false" customHeight="true" outlineLevel="0" collapsed="false"/>
    <row r="621" customFormat="false" ht="13.5" hidden="false" customHeight="true" outlineLevel="0" collapsed="false"/>
    <row r="622" customFormat="false" ht="13.5" hidden="false" customHeight="true" outlineLevel="0" collapsed="false"/>
    <row r="623" customFormat="false" ht="13.5" hidden="false" customHeight="true" outlineLevel="0" collapsed="false"/>
    <row r="624" customFormat="false" ht="13.5" hidden="false" customHeight="true" outlineLevel="0" collapsed="false"/>
    <row r="625" customFormat="false" ht="13.5" hidden="false" customHeight="true" outlineLevel="0" collapsed="false"/>
    <row r="626" customFormat="false" ht="13.5" hidden="false" customHeight="true" outlineLevel="0" collapsed="false"/>
    <row r="627" customFormat="false" ht="13.5" hidden="false" customHeight="true" outlineLevel="0" collapsed="false"/>
    <row r="628" customFormat="false" ht="13.5" hidden="false" customHeight="true" outlineLevel="0" collapsed="false"/>
    <row r="629" customFormat="false" ht="13.5" hidden="false" customHeight="true" outlineLevel="0" collapsed="false"/>
    <row r="630" customFormat="false" ht="13.5" hidden="false" customHeight="true" outlineLevel="0" collapsed="false"/>
    <row r="631" customFormat="false" ht="13.5" hidden="false" customHeight="true" outlineLevel="0" collapsed="false"/>
    <row r="632" customFormat="false" ht="13.5" hidden="false" customHeight="true" outlineLevel="0" collapsed="false"/>
    <row r="633" customFormat="false" ht="13.5" hidden="false" customHeight="true" outlineLevel="0" collapsed="false"/>
    <row r="634" customFormat="false" ht="13.5" hidden="false" customHeight="true" outlineLevel="0" collapsed="false"/>
    <row r="635" customFormat="false" ht="13.5" hidden="false" customHeight="true" outlineLevel="0" collapsed="false"/>
    <row r="636" customFormat="false" ht="13.5" hidden="false" customHeight="true" outlineLevel="0" collapsed="false"/>
    <row r="637" customFormat="false" ht="13.5" hidden="false" customHeight="true" outlineLevel="0" collapsed="false"/>
    <row r="638" customFormat="false" ht="13.5" hidden="false" customHeight="true" outlineLevel="0" collapsed="false"/>
    <row r="639" customFormat="false" ht="13.5" hidden="false" customHeight="true" outlineLevel="0" collapsed="false"/>
    <row r="640" customFormat="false" ht="13.5" hidden="false" customHeight="true" outlineLevel="0" collapsed="false"/>
    <row r="641" customFormat="false" ht="13.5" hidden="false" customHeight="true" outlineLevel="0" collapsed="false"/>
    <row r="642" customFormat="false" ht="13.5" hidden="false" customHeight="true" outlineLevel="0" collapsed="false"/>
    <row r="643" customFormat="false" ht="13.5" hidden="false" customHeight="true" outlineLevel="0" collapsed="false"/>
    <row r="644" customFormat="false" ht="13.5" hidden="false" customHeight="true" outlineLevel="0" collapsed="false"/>
    <row r="645" customFormat="false" ht="13.5" hidden="false" customHeight="true" outlineLevel="0" collapsed="false"/>
    <row r="646" customFormat="false" ht="13.5" hidden="false" customHeight="true" outlineLevel="0" collapsed="false"/>
    <row r="647" customFormat="false" ht="13.5" hidden="false" customHeight="true" outlineLevel="0" collapsed="false"/>
    <row r="648" customFormat="false" ht="13.5" hidden="false" customHeight="true" outlineLevel="0" collapsed="false"/>
    <row r="649" customFormat="false" ht="13.5" hidden="false" customHeight="true" outlineLevel="0" collapsed="false"/>
    <row r="650" customFormat="false" ht="13.5" hidden="false" customHeight="true" outlineLevel="0" collapsed="false"/>
    <row r="651" customFormat="false" ht="13.5" hidden="false" customHeight="true" outlineLevel="0" collapsed="false"/>
    <row r="652" customFormat="false" ht="13.5" hidden="false" customHeight="true" outlineLevel="0" collapsed="false"/>
    <row r="653" customFormat="false" ht="13.5" hidden="false" customHeight="true" outlineLevel="0" collapsed="false"/>
    <row r="654" customFormat="false" ht="13.5" hidden="false" customHeight="true" outlineLevel="0" collapsed="false"/>
    <row r="655" customFormat="false" ht="13.5" hidden="false" customHeight="true" outlineLevel="0" collapsed="false"/>
    <row r="656" customFormat="false" ht="13.5" hidden="false" customHeight="true" outlineLevel="0" collapsed="false"/>
    <row r="657" customFormat="false" ht="13.5" hidden="false" customHeight="true" outlineLevel="0" collapsed="false"/>
    <row r="658" customFormat="false" ht="13.5" hidden="false" customHeight="true" outlineLevel="0" collapsed="false"/>
    <row r="659" customFormat="false" ht="13.5" hidden="false" customHeight="true" outlineLevel="0" collapsed="false"/>
    <row r="660" customFormat="false" ht="13.5" hidden="false" customHeight="true" outlineLevel="0" collapsed="false"/>
    <row r="661" customFormat="false" ht="13.5" hidden="false" customHeight="true" outlineLevel="0" collapsed="false"/>
    <row r="662" customFormat="false" ht="13.5" hidden="false" customHeight="true" outlineLevel="0" collapsed="false"/>
    <row r="663" customFormat="false" ht="13.5" hidden="false" customHeight="true" outlineLevel="0" collapsed="false"/>
    <row r="664" customFormat="false" ht="13.5" hidden="false" customHeight="true" outlineLevel="0" collapsed="false"/>
    <row r="665" customFormat="false" ht="13.5" hidden="false" customHeight="true" outlineLevel="0" collapsed="false"/>
    <row r="666" customFormat="false" ht="13.5" hidden="false" customHeight="true" outlineLevel="0" collapsed="false"/>
    <row r="667" customFormat="false" ht="13.5" hidden="false" customHeight="true" outlineLevel="0" collapsed="false"/>
    <row r="668" customFormat="false" ht="13.5" hidden="false" customHeight="true" outlineLevel="0" collapsed="false"/>
    <row r="669" customFormat="false" ht="13.5" hidden="false" customHeight="true" outlineLevel="0" collapsed="false"/>
    <row r="670" customFormat="false" ht="13.5" hidden="false" customHeight="true" outlineLevel="0" collapsed="false"/>
    <row r="671" customFormat="false" ht="13.5" hidden="false" customHeight="true" outlineLevel="0" collapsed="false"/>
    <row r="672" customFormat="false" ht="13.5" hidden="false" customHeight="true" outlineLevel="0" collapsed="false"/>
    <row r="673" customFormat="false" ht="13.5" hidden="false" customHeight="true" outlineLevel="0" collapsed="false"/>
    <row r="674" customFormat="false" ht="13.5" hidden="false" customHeight="true" outlineLevel="0" collapsed="false"/>
    <row r="675" customFormat="false" ht="13.5" hidden="false" customHeight="true" outlineLevel="0" collapsed="false"/>
    <row r="676" customFormat="false" ht="13.5" hidden="false" customHeight="true" outlineLevel="0" collapsed="false"/>
    <row r="677" customFormat="false" ht="13.5" hidden="false" customHeight="true" outlineLevel="0" collapsed="false"/>
    <row r="678" customFormat="false" ht="13.5" hidden="false" customHeight="true" outlineLevel="0" collapsed="false"/>
    <row r="679" customFormat="false" ht="13.5" hidden="false" customHeight="true" outlineLevel="0" collapsed="false"/>
    <row r="680" customFormat="false" ht="13.5" hidden="false" customHeight="true" outlineLevel="0" collapsed="false"/>
    <row r="681" customFormat="false" ht="13.5" hidden="false" customHeight="true" outlineLevel="0" collapsed="false"/>
    <row r="682" customFormat="false" ht="13.5" hidden="false" customHeight="true" outlineLevel="0" collapsed="false"/>
    <row r="683" customFormat="false" ht="13.5" hidden="false" customHeight="true" outlineLevel="0" collapsed="false"/>
    <row r="684" customFormat="false" ht="13.5" hidden="false" customHeight="true" outlineLevel="0" collapsed="false"/>
    <row r="685" customFormat="false" ht="13.5" hidden="false" customHeight="true" outlineLevel="0" collapsed="false"/>
    <row r="686" customFormat="false" ht="13.5" hidden="false" customHeight="true" outlineLevel="0" collapsed="false"/>
    <row r="687" customFormat="false" ht="13.5" hidden="false" customHeight="true" outlineLevel="0" collapsed="false"/>
    <row r="688" customFormat="false" ht="13.5" hidden="false" customHeight="true" outlineLevel="0" collapsed="false"/>
    <row r="689" customFormat="false" ht="13.5" hidden="false" customHeight="true" outlineLevel="0" collapsed="false"/>
    <row r="690" customFormat="false" ht="13.5" hidden="false" customHeight="true" outlineLevel="0" collapsed="false"/>
    <row r="691" customFormat="false" ht="13.5" hidden="false" customHeight="true" outlineLevel="0" collapsed="false"/>
    <row r="692" customFormat="false" ht="13.5" hidden="false" customHeight="true" outlineLevel="0" collapsed="false"/>
    <row r="693" customFormat="false" ht="13.5" hidden="false" customHeight="true" outlineLevel="0" collapsed="false"/>
    <row r="694" customFormat="false" ht="13.5" hidden="false" customHeight="true" outlineLevel="0" collapsed="false"/>
    <row r="695" customFormat="false" ht="13.5" hidden="false" customHeight="true" outlineLevel="0" collapsed="false"/>
    <row r="696" customFormat="false" ht="13.5" hidden="false" customHeight="true" outlineLevel="0" collapsed="false"/>
    <row r="697" customFormat="false" ht="13.5" hidden="false" customHeight="true" outlineLevel="0" collapsed="false"/>
    <row r="698" customFormat="false" ht="13.5" hidden="false" customHeight="true" outlineLevel="0" collapsed="false"/>
    <row r="699" customFormat="false" ht="13.5" hidden="false" customHeight="true" outlineLevel="0" collapsed="false"/>
    <row r="700" customFormat="false" ht="13.5" hidden="false" customHeight="true" outlineLevel="0" collapsed="false"/>
    <row r="701" customFormat="false" ht="13.5" hidden="false" customHeight="true" outlineLevel="0" collapsed="false"/>
    <row r="702" customFormat="false" ht="13.5" hidden="false" customHeight="true" outlineLevel="0" collapsed="false"/>
    <row r="703" customFormat="false" ht="13.5" hidden="false" customHeight="true" outlineLevel="0" collapsed="false"/>
    <row r="704" customFormat="false" ht="13.5" hidden="false" customHeight="true" outlineLevel="0" collapsed="false"/>
    <row r="705" customFormat="false" ht="13.5" hidden="false" customHeight="true" outlineLevel="0" collapsed="false"/>
    <row r="706" customFormat="false" ht="13.5" hidden="false" customHeight="true" outlineLevel="0" collapsed="false"/>
    <row r="707" customFormat="false" ht="13.5" hidden="false" customHeight="true" outlineLevel="0" collapsed="false"/>
    <row r="708" customFormat="false" ht="13.5" hidden="false" customHeight="true" outlineLevel="0" collapsed="false"/>
    <row r="709" customFormat="false" ht="13.5" hidden="false" customHeight="true" outlineLevel="0" collapsed="false"/>
    <row r="710" customFormat="false" ht="13.5" hidden="false" customHeight="true" outlineLevel="0" collapsed="false"/>
    <row r="711" customFormat="false" ht="13.5" hidden="false" customHeight="true" outlineLevel="0" collapsed="false"/>
    <row r="712" customFormat="false" ht="13.5" hidden="false" customHeight="true" outlineLevel="0" collapsed="false"/>
    <row r="713" customFormat="false" ht="13.5" hidden="false" customHeight="true" outlineLevel="0" collapsed="false"/>
    <row r="714" customFormat="false" ht="13.5" hidden="false" customHeight="true" outlineLevel="0" collapsed="false"/>
    <row r="715" customFormat="false" ht="13.5" hidden="false" customHeight="true" outlineLevel="0" collapsed="false"/>
    <row r="716" customFormat="false" ht="13.5" hidden="false" customHeight="true" outlineLevel="0" collapsed="false"/>
    <row r="717" customFormat="false" ht="13.5" hidden="false" customHeight="true" outlineLevel="0" collapsed="false"/>
    <row r="718" customFormat="false" ht="13.5" hidden="false" customHeight="true" outlineLevel="0" collapsed="false"/>
    <row r="719" customFormat="false" ht="13.5" hidden="false" customHeight="true" outlineLevel="0" collapsed="false"/>
    <row r="720" customFormat="false" ht="13.5" hidden="false" customHeight="true" outlineLevel="0" collapsed="false"/>
    <row r="721" customFormat="false" ht="13.5" hidden="false" customHeight="true" outlineLevel="0" collapsed="false"/>
    <row r="722" customFormat="false" ht="13.5" hidden="false" customHeight="true" outlineLevel="0" collapsed="false"/>
    <row r="723" customFormat="false" ht="13.5" hidden="false" customHeight="true" outlineLevel="0" collapsed="false"/>
    <row r="724" customFormat="false" ht="13.5" hidden="false" customHeight="true" outlineLevel="0" collapsed="false"/>
    <row r="725" customFormat="false" ht="13.5" hidden="false" customHeight="true" outlineLevel="0" collapsed="false"/>
    <row r="726" customFormat="false" ht="13.5" hidden="false" customHeight="true" outlineLevel="0" collapsed="false"/>
    <row r="727" customFormat="false" ht="13.5" hidden="false" customHeight="true" outlineLevel="0" collapsed="false"/>
    <row r="728" customFormat="false" ht="13.5" hidden="false" customHeight="true" outlineLevel="0" collapsed="false"/>
    <row r="729" customFormat="false" ht="13.5" hidden="false" customHeight="true" outlineLevel="0" collapsed="false"/>
    <row r="730" customFormat="false" ht="13.5" hidden="false" customHeight="true" outlineLevel="0" collapsed="false"/>
    <row r="731" customFormat="false" ht="13.5" hidden="false" customHeight="true" outlineLevel="0" collapsed="false"/>
    <row r="732" customFormat="false" ht="13.5" hidden="false" customHeight="true" outlineLevel="0" collapsed="false"/>
    <row r="733" customFormat="false" ht="13.5" hidden="false" customHeight="true" outlineLevel="0" collapsed="false"/>
    <row r="734" customFormat="false" ht="13.5" hidden="false" customHeight="true" outlineLevel="0" collapsed="false"/>
    <row r="735" customFormat="false" ht="13.5" hidden="false" customHeight="true" outlineLevel="0" collapsed="false"/>
    <row r="736" customFormat="false" ht="13.5" hidden="false" customHeight="true" outlineLevel="0" collapsed="false"/>
    <row r="737" customFormat="false" ht="13.5" hidden="false" customHeight="true" outlineLevel="0" collapsed="false"/>
    <row r="738" customFormat="false" ht="13.5" hidden="false" customHeight="true" outlineLevel="0" collapsed="false"/>
    <row r="739" customFormat="false" ht="13.5" hidden="false" customHeight="true" outlineLevel="0" collapsed="false"/>
    <row r="740" customFormat="false" ht="13.5" hidden="false" customHeight="true" outlineLevel="0" collapsed="false"/>
    <row r="741" customFormat="false" ht="13.5" hidden="false" customHeight="true" outlineLevel="0" collapsed="false"/>
    <row r="742" customFormat="false" ht="13.5" hidden="false" customHeight="true" outlineLevel="0" collapsed="false"/>
    <row r="743" customFormat="false" ht="13.5" hidden="false" customHeight="true" outlineLevel="0" collapsed="false"/>
    <row r="744" customFormat="false" ht="13.5" hidden="false" customHeight="true" outlineLevel="0" collapsed="false"/>
    <row r="745" customFormat="false" ht="13.5" hidden="false" customHeight="true" outlineLevel="0" collapsed="false"/>
    <row r="746" customFormat="false" ht="13.5" hidden="false" customHeight="true" outlineLevel="0" collapsed="false"/>
    <row r="747" customFormat="false" ht="13.5" hidden="false" customHeight="true" outlineLevel="0" collapsed="false"/>
    <row r="748" customFormat="false" ht="13.5" hidden="false" customHeight="true" outlineLevel="0" collapsed="false"/>
    <row r="749" customFormat="false" ht="13.5" hidden="false" customHeight="true" outlineLevel="0" collapsed="false"/>
    <row r="750" customFormat="false" ht="13.5" hidden="false" customHeight="true" outlineLevel="0" collapsed="false"/>
    <row r="751" customFormat="false" ht="13.5" hidden="false" customHeight="true" outlineLevel="0" collapsed="false"/>
    <row r="752" customFormat="false" ht="13.5" hidden="false" customHeight="true" outlineLevel="0" collapsed="false"/>
    <row r="753" customFormat="false" ht="13.5" hidden="false" customHeight="true" outlineLevel="0" collapsed="false"/>
    <row r="754" customFormat="false" ht="13.5" hidden="false" customHeight="true" outlineLevel="0" collapsed="false"/>
    <row r="755" customFormat="false" ht="13.5" hidden="false" customHeight="true" outlineLevel="0" collapsed="false"/>
    <row r="756" customFormat="false" ht="13.5" hidden="false" customHeight="true" outlineLevel="0" collapsed="false"/>
    <row r="757" customFormat="false" ht="13.5" hidden="false" customHeight="true" outlineLevel="0" collapsed="false"/>
    <row r="758" customFormat="false" ht="13.5" hidden="false" customHeight="true" outlineLevel="0" collapsed="false"/>
    <row r="759" customFormat="false" ht="13.5" hidden="false" customHeight="true" outlineLevel="0" collapsed="false"/>
    <row r="760" customFormat="false" ht="13.5" hidden="false" customHeight="true" outlineLevel="0" collapsed="false"/>
    <row r="761" customFormat="false" ht="13.5" hidden="false" customHeight="true" outlineLevel="0" collapsed="false"/>
    <row r="762" customFormat="false" ht="13.5" hidden="false" customHeight="true" outlineLevel="0" collapsed="false"/>
    <row r="763" customFormat="false" ht="13.5" hidden="false" customHeight="true" outlineLevel="0" collapsed="false"/>
    <row r="764" customFormat="false" ht="13.5" hidden="false" customHeight="true" outlineLevel="0" collapsed="false"/>
    <row r="765" customFormat="false" ht="13.5" hidden="false" customHeight="true" outlineLevel="0" collapsed="false"/>
    <row r="766" customFormat="false" ht="13.5" hidden="false" customHeight="true" outlineLevel="0" collapsed="false"/>
    <row r="767" customFormat="false" ht="13.5" hidden="false" customHeight="true" outlineLevel="0" collapsed="false"/>
    <row r="768" customFormat="false" ht="13.5" hidden="false" customHeight="true" outlineLevel="0" collapsed="false"/>
    <row r="769" customFormat="false" ht="13.5" hidden="false" customHeight="true" outlineLevel="0" collapsed="false"/>
    <row r="770" customFormat="false" ht="13.5" hidden="false" customHeight="true" outlineLevel="0" collapsed="false"/>
    <row r="771" customFormat="false" ht="13.5" hidden="false" customHeight="true" outlineLevel="0" collapsed="false"/>
    <row r="772" customFormat="false" ht="13.5" hidden="false" customHeight="true" outlineLevel="0" collapsed="false"/>
    <row r="773" customFormat="false" ht="13.5" hidden="false" customHeight="true" outlineLevel="0" collapsed="false"/>
    <row r="774" customFormat="false" ht="13.5" hidden="false" customHeight="true" outlineLevel="0" collapsed="false"/>
    <row r="775" customFormat="false" ht="13.5" hidden="false" customHeight="true" outlineLevel="0" collapsed="false"/>
    <row r="776" customFormat="false" ht="13.5" hidden="false" customHeight="true" outlineLevel="0" collapsed="false"/>
    <row r="777" customFormat="false" ht="13.5" hidden="false" customHeight="true" outlineLevel="0" collapsed="false"/>
    <row r="778" customFormat="false" ht="13.5" hidden="false" customHeight="true" outlineLevel="0" collapsed="false"/>
    <row r="779" customFormat="false" ht="13.5" hidden="false" customHeight="true" outlineLevel="0" collapsed="false"/>
    <row r="780" customFormat="false" ht="13.5" hidden="false" customHeight="true" outlineLevel="0" collapsed="false"/>
    <row r="781" customFormat="false" ht="13.5" hidden="false" customHeight="true" outlineLevel="0" collapsed="false"/>
    <row r="782" customFormat="false" ht="13.5" hidden="false" customHeight="true" outlineLevel="0" collapsed="false"/>
    <row r="783" customFormat="false" ht="13.5" hidden="false" customHeight="true" outlineLevel="0" collapsed="false"/>
    <row r="784" customFormat="false" ht="13.5" hidden="false" customHeight="true" outlineLevel="0" collapsed="false"/>
    <row r="785" customFormat="false" ht="13.5" hidden="false" customHeight="true" outlineLevel="0" collapsed="false"/>
    <row r="786" customFormat="false" ht="13.5" hidden="false" customHeight="true" outlineLevel="0" collapsed="false"/>
    <row r="787" customFormat="false" ht="13.5" hidden="false" customHeight="true" outlineLevel="0" collapsed="false"/>
    <row r="788" customFormat="false" ht="13.5" hidden="false" customHeight="true" outlineLevel="0" collapsed="false"/>
    <row r="789" customFormat="false" ht="13.5" hidden="false" customHeight="true" outlineLevel="0" collapsed="false"/>
    <row r="790" customFormat="false" ht="13.5" hidden="false" customHeight="true" outlineLevel="0" collapsed="false"/>
    <row r="791" customFormat="false" ht="13.5" hidden="false" customHeight="true" outlineLevel="0" collapsed="false"/>
    <row r="792" customFormat="false" ht="13.5" hidden="false" customHeight="true" outlineLevel="0" collapsed="false"/>
    <row r="793" customFormat="false" ht="13.5" hidden="false" customHeight="true" outlineLevel="0" collapsed="false"/>
    <row r="794" customFormat="false" ht="13.5" hidden="false" customHeight="true" outlineLevel="0" collapsed="false"/>
    <row r="795" customFormat="false" ht="13.5" hidden="false" customHeight="true" outlineLevel="0" collapsed="false"/>
    <row r="796" customFormat="false" ht="13.5" hidden="false" customHeight="true" outlineLevel="0" collapsed="false"/>
    <row r="797" customFormat="false" ht="13.5" hidden="false" customHeight="true" outlineLevel="0" collapsed="false"/>
    <row r="798" customFormat="false" ht="13.5" hidden="false" customHeight="true" outlineLevel="0" collapsed="false"/>
    <row r="799" customFormat="false" ht="13.5" hidden="false" customHeight="true" outlineLevel="0" collapsed="false"/>
    <row r="800" customFormat="false" ht="13.5" hidden="false" customHeight="true" outlineLevel="0" collapsed="false"/>
    <row r="801" customFormat="false" ht="13.5" hidden="false" customHeight="true" outlineLevel="0" collapsed="false"/>
    <row r="802" customFormat="false" ht="13.5" hidden="false" customHeight="true" outlineLevel="0" collapsed="false"/>
    <row r="803" customFormat="false" ht="13.5" hidden="false" customHeight="true" outlineLevel="0" collapsed="false"/>
    <row r="804" customFormat="false" ht="13.5" hidden="false" customHeight="true" outlineLevel="0" collapsed="false"/>
    <row r="805" customFormat="false" ht="13.5" hidden="false" customHeight="true" outlineLevel="0" collapsed="false"/>
    <row r="806" customFormat="false" ht="13.5" hidden="false" customHeight="true" outlineLevel="0" collapsed="false"/>
    <row r="807" customFormat="false" ht="13.5" hidden="false" customHeight="true" outlineLevel="0" collapsed="false"/>
    <row r="808" customFormat="false" ht="13.5" hidden="false" customHeight="true" outlineLevel="0" collapsed="false"/>
    <row r="809" customFormat="false" ht="13.5" hidden="false" customHeight="true" outlineLevel="0" collapsed="false"/>
    <row r="810" customFormat="false" ht="13.5" hidden="false" customHeight="true" outlineLevel="0" collapsed="false"/>
    <row r="811" customFormat="false" ht="13.5" hidden="false" customHeight="true" outlineLevel="0" collapsed="false"/>
    <row r="812" customFormat="false" ht="13.5" hidden="false" customHeight="true" outlineLevel="0" collapsed="false"/>
    <row r="813" customFormat="false" ht="13.5" hidden="false" customHeight="true" outlineLevel="0" collapsed="false"/>
    <row r="814" customFormat="false" ht="13.5" hidden="false" customHeight="true" outlineLevel="0" collapsed="false"/>
    <row r="815" customFormat="false" ht="13.5" hidden="false" customHeight="true" outlineLevel="0" collapsed="false"/>
    <row r="816" customFormat="false" ht="13.5" hidden="false" customHeight="true" outlineLevel="0" collapsed="false"/>
    <row r="817" customFormat="false" ht="13.5" hidden="false" customHeight="true" outlineLevel="0" collapsed="false"/>
    <row r="818" customFormat="false" ht="13.5" hidden="false" customHeight="true" outlineLevel="0" collapsed="false"/>
    <row r="819" customFormat="false" ht="13.5" hidden="false" customHeight="true" outlineLevel="0" collapsed="false"/>
    <row r="820" customFormat="false" ht="13.5" hidden="false" customHeight="true" outlineLevel="0" collapsed="false"/>
    <row r="821" customFormat="false" ht="13.5" hidden="false" customHeight="true" outlineLevel="0" collapsed="false"/>
    <row r="822" customFormat="false" ht="13.5" hidden="false" customHeight="true" outlineLevel="0" collapsed="false"/>
    <row r="823" customFormat="false" ht="13.5" hidden="false" customHeight="true" outlineLevel="0" collapsed="false"/>
    <row r="824" customFormat="false" ht="13.5" hidden="false" customHeight="true" outlineLevel="0" collapsed="false"/>
    <row r="825" customFormat="false" ht="13.5" hidden="false" customHeight="true" outlineLevel="0" collapsed="false"/>
    <row r="826" customFormat="false" ht="13.5" hidden="false" customHeight="true" outlineLevel="0" collapsed="false"/>
    <row r="827" customFormat="false" ht="13.5" hidden="false" customHeight="true" outlineLevel="0" collapsed="false"/>
    <row r="828" customFormat="false" ht="13.5" hidden="false" customHeight="true" outlineLevel="0" collapsed="false"/>
    <row r="829" customFormat="false" ht="13.5" hidden="false" customHeight="true" outlineLevel="0" collapsed="false"/>
    <row r="830" customFormat="false" ht="13.5" hidden="false" customHeight="true" outlineLevel="0" collapsed="false"/>
    <row r="831" customFormat="false" ht="13.5" hidden="false" customHeight="true" outlineLevel="0" collapsed="false"/>
    <row r="832" customFormat="false" ht="13.5" hidden="false" customHeight="true" outlineLevel="0" collapsed="false"/>
    <row r="833" customFormat="false" ht="13.5" hidden="false" customHeight="true" outlineLevel="0" collapsed="false"/>
    <row r="834" customFormat="false" ht="13.5" hidden="false" customHeight="true" outlineLevel="0" collapsed="false"/>
    <row r="835" customFormat="false" ht="13.5" hidden="false" customHeight="true" outlineLevel="0" collapsed="false"/>
    <row r="836" customFormat="false" ht="13.5" hidden="false" customHeight="true" outlineLevel="0" collapsed="false"/>
    <row r="837" customFormat="false" ht="13.5" hidden="false" customHeight="true" outlineLevel="0" collapsed="false"/>
    <row r="838" customFormat="false" ht="13.5" hidden="false" customHeight="true" outlineLevel="0" collapsed="false"/>
    <row r="839" customFormat="false" ht="13.5" hidden="false" customHeight="true" outlineLevel="0" collapsed="false"/>
    <row r="840" customFormat="false" ht="13.5" hidden="false" customHeight="true" outlineLevel="0" collapsed="false"/>
    <row r="841" customFormat="false" ht="13.5" hidden="false" customHeight="true" outlineLevel="0" collapsed="false"/>
    <row r="842" customFormat="false" ht="13.5" hidden="false" customHeight="true" outlineLevel="0" collapsed="false"/>
    <row r="843" customFormat="false" ht="13.5" hidden="false" customHeight="true" outlineLevel="0" collapsed="false"/>
    <row r="844" customFormat="false" ht="13.5" hidden="false" customHeight="true" outlineLevel="0" collapsed="false"/>
    <row r="845" customFormat="false" ht="13.5" hidden="false" customHeight="true" outlineLevel="0" collapsed="false"/>
    <row r="846" customFormat="false" ht="13.5" hidden="false" customHeight="true" outlineLevel="0" collapsed="false"/>
    <row r="847" customFormat="false" ht="13.5" hidden="false" customHeight="true" outlineLevel="0" collapsed="false"/>
    <row r="848" customFormat="false" ht="13.5" hidden="false" customHeight="true" outlineLevel="0" collapsed="false"/>
    <row r="849" customFormat="false" ht="13.5" hidden="false" customHeight="true" outlineLevel="0" collapsed="false"/>
    <row r="850" customFormat="false" ht="13.5" hidden="false" customHeight="true" outlineLevel="0" collapsed="false"/>
    <row r="851" customFormat="false" ht="13.5" hidden="false" customHeight="true" outlineLevel="0" collapsed="false"/>
    <row r="852" customFormat="false" ht="13.5" hidden="false" customHeight="true" outlineLevel="0" collapsed="false"/>
    <row r="853" customFormat="false" ht="13.5" hidden="false" customHeight="true" outlineLevel="0" collapsed="false"/>
    <row r="854" customFormat="false" ht="13.5" hidden="false" customHeight="true" outlineLevel="0" collapsed="false"/>
    <row r="855" customFormat="false" ht="13.5" hidden="false" customHeight="true" outlineLevel="0" collapsed="false"/>
    <row r="856" customFormat="false" ht="13.5" hidden="false" customHeight="true" outlineLevel="0" collapsed="false"/>
    <row r="857" customFormat="false" ht="13.5" hidden="false" customHeight="true" outlineLevel="0" collapsed="false"/>
    <row r="858" customFormat="false" ht="13.5" hidden="false" customHeight="true" outlineLevel="0" collapsed="false"/>
    <row r="859" customFormat="false" ht="13.5" hidden="false" customHeight="true" outlineLevel="0" collapsed="false"/>
    <row r="860" customFormat="false" ht="13.5" hidden="false" customHeight="true" outlineLevel="0" collapsed="false"/>
    <row r="861" customFormat="false" ht="13.5" hidden="false" customHeight="true" outlineLevel="0" collapsed="false"/>
    <row r="862" customFormat="false" ht="13.5" hidden="false" customHeight="true" outlineLevel="0" collapsed="false"/>
    <row r="863" customFormat="false" ht="13.5" hidden="false" customHeight="true" outlineLevel="0" collapsed="false"/>
    <row r="864" customFormat="false" ht="13.5" hidden="false" customHeight="true" outlineLevel="0" collapsed="false"/>
    <row r="865" customFormat="false" ht="13.5" hidden="false" customHeight="true" outlineLevel="0" collapsed="false"/>
    <row r="866" customFormat="false" ht="13.5" hidden="false" customHeight="true" outlineLevel="0" collapsed="false"/>
    <row r="867" customFormat="false" ht="13.5" hidden="false" customHeight="true" outlineLevel="0" collapsed="false"/>
    <row r="868" customFormat="false" ht="13.5" hidden="false" customHeight="true" outlineLevel="0" collapsed="false"/>
    <row r="869" customFormat="false" ht="13.5" hidden="false" customHeight="true" outlineLevel="0" collapsed="false"/>
    <row r="870" customFormat="false" ht="13.5" hidden="false" customHeight="true" outlineLevel="0" collapsed="false"/>
    <row r="871" customFormat="false" ht="13.5" hidden="false" customHeight="true" outlineLevel="0" collapsed="false"/>
    <row r="872" customFormat="false" ht="13.5" hidden="false" customHeight="true" outlineLevel="0" collapsed="false"/>
    <row r="873" customFormat="false" ht="13.5" hidden="false" customHeight="true" outlineLevel="0" collapsed="false"/>
    <row r="874" customFormat="false" ht="13.5" hidden="false" customHeight="true" outlineLevel="0" collapsed="false"/>
    <row r="875" customFormat="false" ht="13.5" hidden="false" customHeight="true" outlineLevel="0" collapsed="false"/>
    <row r="876" customFormat="false" ht="13.5" hidden="false" customHeight="true" outlineLevel="0" collapsed="false"/>
    <row r="877" customFormat="false" ht="13.5" hidden="false" customHeight="true" outlineLevel="0" collapsed="false"/>
    <row r="878" customFormat="false" ht="13.5" hidden="false" customHeight="true" outlineLevel="0" collapsed="false"/>
    <row r="879" customFormat="false" ht="13.5" hidden="false" customHeight="true" outlineLevel="0" collapsed="false"/>
    <row r="880" customFormat="false" ht="13.5" hidden="false" customHeight="true" outlineLevel="0" collapsed="false"/>
    <row r="881" customFormat="false" ht="13.5" hidden="false" customHeight="true" outlineLevel="0" collapsed="false"/>
    <row r="882" customFormat="false" ht="13.5" hidden="false" customHeight="true" outlineLevel="0" collapsed="false"/>
    <row r="883" customFormat="false" ht="13.5" hidden="false" customHeight="true" outlineLevel="0" collapsed="false"/>
    <row r="884" customFormat="false" ht="13.5" hidden="false" customHeight="true" outlineLevel="0" collapsed="false"/>
    <row r="885" customFormat="false" ht="13.5" hidden="false" customHeight="true" outlineLevel="0" collapsed="false"/>
    <row r="886" customFormat="false" ht="13.5" hidden="false" customHeight="true" outlineLevel="0" collapsed="false"/>
    <row r="887" customFormat="false" ht="13.5" hidden="false" customHeight="true" outlineLevel="0" collapsed="false"/>
    <row r="888" customFormat="false" ht="13.5" hidden="false" customHeight="true" outlineLevel="0" collapsed="false"/>
    <row r="889" customFormat="false" ht="13.5" hidden="false" customHeight="true" outlineLevel="0" collapsed="false"/>
    <row r="890" customFormat="false" ht="13.5" hidden="false" customHeight="true" outlineLevel="0" collapsed="false"/>
    <row r="891" customFormat="false" ht="13.5" hidden="false" customHeight="true" outlineLevel="0" collapsed="false"/>
    <row r="892" customFormat="false" ht="13.5" hidden="false" customHeight="true" outlineLevel="0" collapsed="false"/>
    <row r="893" customFormat="false" ht="13.5" hidden="false" customHeight="true" outlineLevel="0" collapsed="false"/>
    <row r="894" customFormat="false" ht="13.5" hidden="false" customHeight="true" outlineLevel="0" collapsed="false"/>
    <row r="895" customFormat="false" ht="13.5" hidden="false" customHeight="true" outlineLevel="0" collapsed="false"/>
    <row r="896" customFormat="false" ht="13.5" hidden="false" customHeight="true" outlineLevel="0" collapsed="false"/>
    <row r="897" customFormat="false" ht="13.5" hidden="false" customHeight="true" outlineLevel="0" collapsed="false"/>
    <row r="898" customFormat="false" ht="13.5" hidden="false" customHeight="true" outlineLevel="0" collapsed="false"/>
    <row r="899" customFormat="false" ht="13.5" hidden="false" customHeight="true" outlineLevel="0" collapsed="false"/>
    <row r="900" customFormat="false" ht="13.5" hidden="false" customHeight="true" outlineLevel="0" collapsed="false"/>
    <row r="901" customFormat="false" ht="13.5" hidden="false" customHeight="true" outlineLevel="0" collapsed="false"/>
    <row r="902" customFormat="false" ht="13.5" hidden="false" customHeight="true" outlineLevel="0" collapsed="false"/>
    <row r="903" customFormat="false" ht="13.5" hidden="false" customHeight="true" outlineLevel="0" collapsed="false"/>
    <row r="904" customFormat="false" ht="13.5" hidden="false" customHeight="true" outlineLevel="0" collapsed="false"/>
    <row r="905" customFormat="false" ht="13.5" hidden="false" customHeight="true" outlineLevel="0" collapsed="false"/>
    <row r="906" customFormat="false" ht="13.5" hidden="false" customHeight="true" outlineLevel="0" collapsed="false"/>
    <row r="907" customFormat="false" ht="13.5" hidden="false" customHeight="true" outlineLevel="0" collapsed="false"/>
    <row r="908" customFormat="false" ht="13.5" hidden="false" customHeight="true" outlineLevel="0" collapsed="false"/>
    <row r="909" customFormat="false" ht="13.5" hidden="false" customHeight="true" outlineLevel="0" collapsed="false"/>
    <row r="910" customFormat="false" ht="13.5" hidden="false" customHeight="true" outlineLevel="0" collapsed="false"/>
    <row r="911" customFormat="false" ht="13.5" hidden="false" customHeight="true" outlineLevel="0" collapsed="false"/>
    <row r="912" customFormat="false" ht="13.5" hidden="false" customHeight="true" outlineLevel="0" collapsed="false"/>
    <row r="913" customFormat="false" ht="13.5" hidden="false" customHeight="true" outlineLevel="0" collapsed="false"/>
    <row r="914" customFormat="false" ht="13.5" hidden="false" customHeight="true" outlineLevel="0" collapsed="false"/>
    <row r="915" customFormat="false" ht="13.5" hidden="false" customHeight="true" outlineLevel="0" collapsed="false"/>
    <row r="916" customFormat="false" ht="13.5" hidden="false" customHeight="true" outlineLevel="0" collapsed="false"/>
    <row r="917" customFormat="false" ht="13.5" hidden="false" customHeight="true" outlineLevel="0" collapsed="false"/>
    <row r="918" customFormat="false" ht="13.5" hidden="false" customHeight="true" outlineLevel="0" collapsed="false"/>
    <row r="919" customFormat="false" ht="13.5" hidden="false" customHeight="true" outlineLevel="0" collapsed="false"/>
    <row r="920" customFormat="false" ht="13.5" hidden="false" customHeight="true" outlineLevel="0" collapsed="false"/>
    <row r="921" customFormat="false" ht="13.5" hidden="false" customHeight="true" outlineLevel="0" collapsed="false"/>
    <row r="922" customFormat="false" ht="13.5" hidden="false" customHeight="true" outlineLevel="0" collapsed="false"/>
    <row r="923" customFormat="false" ht="13.5" hidden="false" customHeight="true" outlineLevel="0" collapsed="false"/>
    <row r="924" customFormat="false" ht="13.5" hidden="false" customHeight="true" outlineLevel="0" collapsed="false"/>
    <row r="925" customFormat="false" ht="13.5" hidden="false" customHeight="true" outlineLevel="0" collapsed="false"/>
    <row r="926" customFormat="false" ht="13.5" hidden="false" customHeight="true" outlineLevel="0" collapsed="false"/>
    <row r="927" customFormat="false" ht="13.5" hidden="false" customHeight="true" outlineLevel="0" collapsed="false"/>
    <row r="928" customFormat="false" ht="13.5" hidden="false" customHeight="true" outlineLevel="0" collapsed="false"/>
    <row r="929" customFormat="false" ht="13.5" hidden="false" customHeight="true" outlineLevel="0" collapsed="false"/>
    <row r="930" customFormat="false" ht="13.5" hidden="false" customHeight="true" outlineLevel="0" collapsed="false"/>
    <row r="931" customFormat="false" ht="13.5" hidden="false" customHeight="true" outlineLevel="0" collapsed="false"/>
    <row r="932" customFormat="false" ht="13.5" hidden="false" customHeight="true" outlineLevel="0" collapsed="false"/>
    <row r="933" customFormat="false" ht="13.5" hidden="false" customHeight="true" outlineLevel="0" collapsed="false"/>
    <row r="934" customFormat="false" ht="13.5" hidden="false" customHeight="true" outlineLevel="0" collapsed="false"/>
    <row r="935" customFormat="false" ht="13.5" hidden="false" customHeight="true" outlineLevel="0" collapsed="false"/>
    <row r="936" customFormat="false" ht="13.5" hidden="false" customHeight="true" outlineLevel="0" collapsed="false"/>
    <row r="937" customFormat="false" ht="13.5" hidden="false" customHeight="true" outlineLevel="0" collapsed="false"/>
    <row r="938" customFormat="false" ht="13.5" hidden="false" customHeight="true" outlineLevel="0" collapsed="false"/>
    <row r="939" customFormat="false" ht="13.5" hidden="false" customHeight="true" outlineLevel="0" collapsed="false"/>
    <row r="940" customFormat="false" ht="13.5" hidden="false" customHeight="true" outlineLevel="0" collapsed="false"/>
    <row r="941" customFormat="false" ht="13.5" hidden="false" customHeight="true" outlineLevel="0" collapsed="false"/>
    <row r="942" customFormat="false" ht="13.5" hidden="false" customHeight="true" outlineLevel="0" collapsed="false"/>
    <row r="943" customFormat="false" ht="13.5" hidden="false" customHeight="true" outlineLevel="0" collapsed="false"/>
    <row r="944" customFormat="false" ht="13.5" hidden="false" customHeight="true" outlineLevel="0" collapsed="false"/>
    <row r="945" customFormat="false" ht="13.5" hidden="false" customHeight="true" outlineLevel="0" collapsed="false"/>
    <row r="946" customFormat="false" ht="13.5" hidden="false" customHeight="true" outlineLevel="0" collapsed="false"/>
    <row r="947" customFormat="false" ht="13.5" hidden="false" customHeight="true" outlineLevel="0" collapsed="false"/>
    <row r="948" customFormat="false" ht="13.5" hidden="false" customHeight="true" outlineLevel="0" collapsed="false"/>
    <row r="949" customFormat="false" ht="13.5" hidden="false" customHeight="true" outlineLevel="0" collapsed="false"/>
    <row r="950" customFormat="false" ht="13.5" hidden="false" customHeight="true" outlineLevel="0" collapsed="false"/>
    <row r="951" customFormat="false" ht="13.5" hidden="false" customHeight="true" outlineLevel="0" collapsed="false"/>
    <row r="952" customFormat="false" ht="13.5" hidden="false" customHeight="true" outlineLevel="0" collapsed="false"/>
    <row r="953" customFormat="false" ht="13.5" hidden="false" customHeight="true" outlineLevel="0" collapsed="false"/>
    <row r="954" customFormat="false" ht="13.5" hidden="false" customHeight="true" outlineLevel="0" collapsed="false"/>
    <row r="955" customFormat="false" ht="13.5" hidden="false" customHeight="true" outlineLevel="0" collapsed="false"/>
    <row r="956" customFormat="false" ht="13.5" hidden="false" customHeight="true" outlineLevel="0" collapsed="false"/>
    <row r="957" customFormat="false" ht="13.5" hidden="false" customHeight="true" outlineLevel="0" collapsed="false"/>
    <row r="958" customFormat="false" ht="13.5" hidden="false" customHeight="true" outlineLevel="0" collapsed="false"/>
    <row r="959" customFormat="false" ht="13.5" hidden="false" customHeight="true" outlineLevel="0" collapsed="false"/>
    <row r="960" customFormat="false" ht="13.5" hidden="false" customHeight="true" outlineLevel="0" collapsed="false"/>
    <row r="961" customFormat="false" ht="13.5" hidden="false" customHeight="true" outlineLevel="0" collapsed="false"/>
    <row r="962" customFormat="false" ht="13.5" hidden="false" customHeight="true" outlineLevel="0" collapsed="false"/>
    <row r="963" customFormat="false" ht="13.5" hidden="false" customHeight="true" outlineLevel="0" collapsed="false"/>
    <row r="964" customFormat="false" ht="13.5" hidden="false" customHeight="true" outlineLevel="0" collapsed="false"/>
    <row r="965" customFormat="false" ht="13.5" hidden="false" customHeight="true" outlineLevel="0" collapsed="false"/>
    <row r="966" customFormat="false" ht="13.5" hidden="false" customHeight="true" outlineLevel="0" collapsed="false"/>
    <row r="967" customFormat="false" ht="13.5" hidden="false" customHeight="true" outlineLevel="0" collapsed="false"/>
    <row r="968" customFormat="false" ht="13.5" hidden="false" customHeight="true" outlineLevel="0" collapsed="false"/>
    <row r="969" customFormat="false" ht="13.5" hidden="false" customHeight="true" outlineLevel="0" collapsed="false"/>
    <row r="970" customFormat="false" ht="13.5" hidden="false" customHeight="true" outlineLevel="0" collapsed="false"/>
    <row r="971" customFormat="false" ht="13.5" hidden="false" customHeight="true" outlineLevel="0" collapsed="false"/>
    <row r="972" customFormat="false" ht="13.5" hidden="false" customHeight="true" outlineLevel="0" collapsed="false"/>
    <row r="973" customFormat="false" ht="13.5" hidden="false" customHeight="true" outlineLevel="0" collapsed="false"/>
    <row r="974" customFormat="false" ht="13.5" hidden="false" customHeight="true" outlineLevel="0" collapsed="false"/>
    <row r="975" customFormat="false" ht="13.5" hidden="false" customHeight="true" outlineLevel="0" collapsed="false"/>
    <row r="976" customFormat="false" ht="13.5" hidden="false" customHeight="true" outlineLevel="0" collapsed="false"/>
    <row r="977" customFormat="false" ht="13.5" hidden="false" customHeight="true" outlineLevel="0" collapsed="false"/>
    <row r="978" customFormat="false" ht="13.5" hidden="false" customHeight="true" outlineLevel="0" collapsed="false"/>
    <row r="979" customFormat="false" ht="13.5" hidden="false" customHeight="true" outlineLevel="0" collapsed="false"/>
    <row r="980" customFormat="false" ht="13.5" hidden="false" customHeight="true" outlineLevel="0" collapsed="false"/>
    <row r="981" customFormat="false" ht="13.5" hidden="false" customHeight="true" outlineLevel="0" collapsed="false"/>
    <row r="982" customFormat="false" ht="13.5" hidden="false" customHeight="true" outlineLevel="0" collapsed="false"/>
    <row r="983" customFormat="false" ht="13.5" hidden="false" customHeight="true" outlineLevel="0" collapsed="false"/>
    <row r="984" customFormat="false" ht="13.5" hidden="false" customHeight="true" outlineLevel="0" collapsed="false"/>
    <row r="985" customFormat="false" ht="13.5" hidden="false" customHeight="true" outlineLevel="0" collapsed="false"/>
    <row r="986" customFormat="false" ht="13.5" hidden="false" customHeight="true" outlineLevel="0" collapsed="false"/>
    <row r="987" customFormat="false" ht="13.5" hidden="false" customHeight="true" outlineLevel="0" collapsed="false"/>
    <row r="988" customFormat="false" ht="13.5" hidden="false" customHeight="true" outlineLevel="0" collapsed="false"/>
    <row r="989" customFormat="false" ht="13.5" hidden="false" customHeight="true" outlineLevel="0" collapsed="false"/>
    <row r="990" customFormat="false" ht="13.5" hidden="false" customHeight="true" outlineLevel="0" collapsed="false"/>
    <row r="991" customFormat="false" ht="13.5" hidden="false" customHeight="true" outlineLevel="0" collapsed="false"/>
    <row r="992" customFormat="false" ht="13.5" hidden="false" customHeight="true" outlineLevel="0" collapsed="false"/>
    <row r="993" customFormat="false" ht="13.5" hidden="false" customHeight="true" outlineLevel="0" collapsed="false"/>
    <row r="994" customFormat="false" ht="13.5" hidden="false" customHeight="true" outlineLevel="0" collapsed="false"/>
    <row r="995" customFormat="false" ht="13.5" hidden="false" customHeight="true" outlineLevel="0" collapsed="false"/>
    <row r="996" customFormat="false" ht="13.5" hidden="false" customHeight="true" outlineLevel="0" collapsed="false"/>
    <row r="997" customFormat="false" ht="13.5" hidden="false" customHeight="true" outlineLevel="0" collapsed="false"/>
    <row r="998" customFormat="false" ht="13.5" hidden="false" customHeight="true" outlineLevel="0" collapsed="false"/>
    <row r="999" customFormat="false" ht="13.5" hidden="false" customHeight="true" outlineLevel="0" collapsed="false"/>
    <row r="1000" customFormat="false" ht="13.5" hidden="false" customHeight="true" outlineLevel="0" collapsed="false"/>
  </sheetData>
  <mergeCells count="8">
    <mergeCell ref="B2:AP2"/>
    <mergeCell ref="B3:K3"/>
    <mergeCell ref="B4:B5"/>
    <mergeCell ref="C4:C5"/>
    <mergeCell ref="D4:D5"/>
    <mergeCell ref="B41:C41"/>
    <mergeCell ref="B42:C42"/>
    <mergeCell ref="B43:C4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O1000"/>
  <sheetViews>
    <sheetView showFormulas="false" showGridLines="true" showRowColHeaders="true" showZeros="true" rightToLeft="false" tabSelected="false" showOutlineSymbols="true" defaultGridColor="true" view="normal" topLeftCell="A22" colorId="64" zoomScale="80" zoomScaleNormal="80" zoomScalePageLayoutView="100" workbookViewId="0">
      <selection pane="topLeft" activeCell="L49" activeCellId="0" sqref="L49"/>
    </sheetView>
  </sheetViews>
  <sheetFormatPr defaultColWidth="14.4453125" defaultRowHeight="15" zeroHeight="false" outlineLevelRow="0" outlineLevelCol="0"/>
  <cols>
    <col collapsed="false" customWidth="true" hidden="false" outlineLevel="0" max="2" min="1" style="0" width="10.56"/>
    <col collapsed="false" customWidth="true" hidden="false" outlineLevel="0" max="3" min="3" style="0" width="42.11"/>
    <col collapsed="false" customWidth="true" hidden="false" outlineLevel="0" max="4" min="4" style="0" width="21"/>
    <col collapsed="false" customWidth="true" hidden="false" outlineLevel="0" max="5" min="5" style="0" width="20.44"/>
    <col collapsed="false" customWidth="true" hidden="false" outlineLevel="0" max="6" min="6" style="0" width="46.32"/>
    <col collapsed="false" customWidth="true" hidden="false" outlineLevel="0" max="11" min="7" style="0" width="10.56"/>
    <col collapsed="false" customWidth="true" hidden="false" outlineLevel="0" max="12" min="12" style="0" width="25.44"/>
    <col collapsed="false" customWidth="true" hidden="false" outlineLevel="0" max="13" min="13" style="0" width="9"/>
    <col collapsed="false" customWidth="true" hidden="false" outlineLevel="0" max="14" min="14" style="0" width="61.88"/>
    <col collapsed="false" customWidth="true" hidden="false" outlineLevel="0" max="26" min="15" style="0" width="10.56"/>
  </cols>
  <sheetData>
    <row r="1" customFormat="false" ht="15" hidden="false" customHeight="false" outlineLevel="0" collapsed="false">
      <c r="B1" s="58"/>
    </row>
    <row r="2" customFormat="false" ht="22.05" hidden="false" customHeight="false" outlineLevel="0" collapsed="false">
      <c r="B2" s="59" t="s">
        <v>104</v>
      </c>
      <c r="C2" s="59"/>
      <c r="D2" s="59"/>
      <c r="E2" s="59"/>
      <c r="F2" s="59"/>
      <c r="G2" s="59"/>
      <c r="H2" s="59"/>
      <c r="L2" s="12" t="s">
        <v>105</v>
      </c>
    </row>
    <row r="3" customFormat="false" ht="15" hidden="false" customHeight="false" outlineLevel="0" collapsed="false">
      <c r="B3" s="60" t="s">
        <v>106</v>
      </c>
      <c r="C3" s="61" t="s">
        <v>107</v>
      </c>
      <c r="D3" s="61" t="s">
        <v>108</v>
      </c>
      <c r="E3" s="61" t="s">
        <v>109</v>
      </c>
      <c r="F3" s="61" t="s">
        <v>110</v>
      </c>
      <c r="G3" s="61" t="s">
        <v>111</v>
      </c>
      <c r="H3" s="62" t="s">
        <v>112</v>
      </c>
    </row>
    <row r="4" customFormat="false" ht="15" hidden="false" customHeight="false" outlineLevel="0" collapsed="false">
      <c r="B4" s="60"/>
      <c r="C4" s="61"/>
      <c r="D4" s="61"/>
      <c r="E4" s="61"/>
      <c r="F4" s="61"/>
      <c r="G4" s="61"/>
      <c r="H4" s="62"/>
      <c r="L4" s="12" t="s">
        <v>113</v>
      </c>
    </row>
    <row r="5" customFormat="false" ht="15" hidden="false" customHeight="false" outlineLevel="0" collapsed="false">
      <c r="B5" s="63" t="n">
        <v>1</v>
      </c>
      <c r="C5" s="64" t="s">
        <v>34</v>
      </c>
      <c r="D5" s="65" t="s">
        <v>114</v>
      </c>
      <c r="E5" s="65" t="n">
        <v>3</v>
      </c>
      <c r="F5" s="65" t="s">
        <v>115</v>
      </c>
      <c r="G5" s="66" t="n">
        <v>45930</v>
      </c>
      <c r="H5" s="67" t="n">
        <f aca="false">G5+E5-1</f>
        <v>45932</v>
      </c>
    </row>
    <row r="6" customFormat="false" ht="15" hidden="false" customHeight="false" outlineLevel="0" collapsed="false">
      <c r="B6" s="68" t="n">
        <v>2</v>
      </c>
      <c r="C6" s="69" t="s">
        <v>35</v>
      </c>
      <c r="D6" s="70" t="s">
        <v>114</v>
      </c>
      <c r="E6" s="70" t="n">
        <v>3</v>
      </c>
      <c r="F6" s="70" t="s">
        <v>116</v>
      </c>
      <c r="G6" s="71" t="n">
        <v>45931</v>
      </c>
      <c r="H6" s="67" t="n">
        <f aca="false">G6+E6-1</f>
        <v>45933</v>
      </c>
      <c r="L6" s="12" t="s">
        <v>117</v>
      </c>
    </row>
    <row r="7" customFormat="false" ht="15" hidden="false" customHeight="false" outlineLevel="0" collapsed="false">
      <c r="B7" s="68" t="n">
        <v>3</v>
      </c>
      <c r="C7" s="69" t="s">
        <v>37</v>
      </c>
      <c r="D7" s="70" t="s">
        <v>114</v>
      </c>
      <c r="E7" s="70" t="n">
        <v>3</v>
      </c>
      <c r="F7" s="70" t="s">
        <v>118</v>
      </c>
      <c r="G7" s="71" t="n">
        <v>45930</v>
      </c>
      <c r="H7" s="67" t="n">
        <f aca="false">G7+E7-1</f>
        <v>45932</v>
      </c>
    </row>
    <row r="8" customFormat="false" ht="15" hidden="false" customHeight="false" outlineLevel="0" collapsed="false">
      <c r="B8" s="68" t="n">
        <v>4</v>
      </c>
      <c r="C8" s="69" t="s">
        <v>38</v>
      </c>
      <c r="D8" s="70" t="s">
        <v>114</v>
      </c>
      <c r="E8" s="70" t="n">
        <v>3</v>
      </c>
      <c r="F8" s="70" t="s">
        <v>119</v>
      </c>
      <c r="G8" s="71" t="n">
        <v>45931</v>
      </c>
      <c r="H8" s="67" t="n">
        <f aca="false">G8+E8-1</f>
        <v>45933</v>
      </c>
    </row>
    <row r="9" customFormat="false" ht="15" hidden="false" customHeight="false" outlineLevel="0" collapsed="false">
      <c r="B9" s="68" t="n">
        <v>5</v>
      </c>
      <c r="C9" s="69" t="s">
        <v>39</v>
      </c>
      <c r="D9" s="70" t="s">
        <v>114</v>
      </c>
      <c r="E9" s="70" t="n">
        <v>3</v>
      </c>
      <c r="F9" s="70" t="s">
        <v>120</v>
      </c>
      <c r="G9" s="71" t="n">
        <v>45932</v>
      </c>
      <c r="H9" s="67" t="n">
        <f aca="false">G9+E9-1</f>
        <v>45934</v>
      </c>
    </row>
    <row r="10" customFormat="false" ht="15" hidden="false" customHeight="false" outlineLevel="0" collapsed="false">
      <c r="B10" s="68" t="n">
        <v>6</v>
      </c>
      <c r="C10" s="69" t="s">
        <v>40</v>
      </c>
      <c r="D10" s="70" t="s">
        <v>121</v>
      </c>
      <c r="E10" s="70" t="n">
        <v>6</v>
      </c>
      <c r="F10" s="70" t="s">
        <v>122</v>
      </c>
      <c r="G10" s="71" t="n">
        <v>45935</v>
      </c>
      <c r="H10" s="67" t="n">
        <f aca="false">G10+E10-1</f>
        <v>45940</v>
      </c>
    </row>
    <row r="11" customFormat="false" ht="15" hidden="false" customHeight="false" outlineLevel="0" collapsed="false">
      <c r="B11" s="68" t="n">
        <v>7</v>
      </c>
      <c r="C11" s="69" t="s">
        <v>41</v>
      </c>
      <c r="D11" s="70" t="s">
        <v>123</v>
      </c>
      <c r="E11" s="70" t="n">
        <v>3</v>
      </c>
      <c r="F11" s="70" t="s">
        <v>122</v>
      </c>
      <c r="G11" s="71" t="n">
        <v>45946</v>
      </c>
      <c r="H11" s="67" t="n">
        <f aca="false">G11+E11-1</f>
        <v>45948</v>
      </c>
    </row>
    <row r="12" customFormat="false" ht="14.9" hidden="false" customHeight="true" outlineLevel="0" collapsed="false">
      <c r="B12" s="68" t="n">
        <v>8</v>
      </c>
      <c r="C12" s="69" t="s">
        <v>124</v>
      </c>
      <c r="D12" s="70" t="s">
        <v>121</v>
      </c>
      <c r="E12" s="70" t="n">
        <v>6</v>
      </c>
      <c r="F12" s="72" t="s">
        <v>125</v>
      </c>
      <c r="G12" s="71" t="n">
        <v>45935</v>
      </c>
      <c r="H12" s="67" t="n">
        <f aca="false">G12+E12-1</f>
        <v>45940</v>
      </c>
    </row>
    <row r="13" customFormat="false" ht="17.15" hidden="false" customHeight="true" outlineLevel="0" collapsed="false">
      <c r="B13" s="68" t="n">
        <v>9</v>
      </c>
      <c r="C13" s="69" t="s">
        <v>43</v>
      </c>
      <c r="D13" s="70" t="s">
        <v>126</v>
      </c>
      <c r="E13" s="70" t="n">
        <v>3</v>
      </c>
      <c r="F13" s="73" t="s">
        <v>125</v>
      </c>
      <c r="G13" s="71" t="n">
        <v>45945</v>
      </c>
      <c r="H13" s="67" t="n">
        <f aca="false">G13+E13-1</f>
        <v>45947</v>
      </c>
    </row>
    <row r="14" customFormat="false" ht="15" hidden="false" customHeight="false" outlineLevel="0" collapsed="false">
      <c r="B14" s="68" t="n">
        <v>10</v>
      </c>
      <c r="C14" s="69" t="s">
        <v>44</v>
      </c>
      <c r="D14" s="70" t="s">
        <v>114</v>
      </c>
      <c r="E14" s="70" t="n">
        <v>1</v>
      </c>
      <c r="F14" s="70" t="s">
        <v>116</v>
      </c>
      <c r="G14" s="71" t="n">
        <v>45937</v>
      </c>
      <c r="H14" s="67" t="n">
        <f aca="false">G14+E14-1</f>
        <v>45937</v>
      </c>
    </row>
    <row r="15" customFormat="false" ht="15" hidden="false" customHeight="false" outlineLevel="0" collapsed="false">
      <c r="B15" s="68" t="n">
        <v>11</v>
      </c>
      <c r="C15" s="69" t="s">
        <v>45</v>
      </c>
      <c r="D15" s="70" t="s">
        <v>114</v>
      </c>
      <c r="E15" s="70" t="n">
        <v>1</v>
      </c>
      <c r="F15" s="70" t="s">
        <v>116</v>
      </c>
      <c r="G15" s="71" t="n">
        <v>45936</v>
      </c>
      <c r="H15" s="67" t="n">
        <f aca="false">G15+E15-1</f>
        <v>45936</v>
      </c>
    </row>
    <row r="16" customFormat="false" ht="15" hidden="false" customHeight="false" outlineLevel="0" collapsed="false">
      <c r="B16" s="68" t="n">
        <v>12</v>
      </c>
      <c r="C16" s="69" t="s">
        <v>46</v>
      </c>
      <c r="D16" s="70" t="s">
        <v>114</v>
      </c>
      <c r="E16" s="70" t="n">
        <v>1</v>
      </c>
      <c r="F16" s="70" t="s">
        <v>119</v>
      </c>
      <c r="G16" s="71" t="n">
        <v>45937</v>
      </c>
      <c r="H16" s="67" t="n">
        <f aca="false">G16+E16-1</f>
        <v>45937</v>
      </c>
    </row>
    <row r="17" customFormat="false" ht="15" hidden="false" customHeight="false" outlineLevel="0" collapsed="false">
      <c r="B17" s="68" t="n">
        <v>13</v>
      </c>
      <c r="C17" s="69" t="s">
        <v>47</v>
      </c>
      <c r="D17" s="70" t="s">
        <v>114</v>
      </c>
      <c r="E17" s="70" t="n">
        <v>1</v>
      </c>
      <c r="F17" s="70" t="s">
        <v>119</v>
      </c>
      <c r="G17" s="71" t="n">
        <v>45935</v>
      </c>
      <c r="H17" s="67" t="n">
        <f aca="false">G17+E17-1</f>
        <v>45935</v>
      </c>
    </row>
    <row r="18" customFormat="false" ht="15" hidden="false" customHeight="false" outlineLevel="0" collapsed="false">
      <c r="B18" s="68" t="n">
        <v>14</v>
      </c>
      <c r="C18" s="69" t="s">
        <v>48</v>
      </c>
      <c r="D18" s="70" t="s">
        <v>114</v>
      </c>
      <c r="E18" s="70" t="n">
        <v>1</v>
      </c>
      <c r="F18" s="70" t="s">
        <v>120</v>
      </c>
      <c r="G18" s="71" t="n">
        <v>45936</v>
      </c>
      <c r="H18" s="67" t="n">
        <f aca="false">G18+E18-1</f>
        <v>45936</v>
      </c>
    </row>
    <row r="19" customFormat="false" ht="15" hidden="false" customHeight="false" outlineLevel="0" collapsed="false">
      <c r="B19" s="68" t="n">
        <v>15</v>
      </c>
      <c r="C19" s="69" t="s">
        <v>49</v>
      </c>
      <c r="D19" s="70" t="s">
        <v>114</v>
      </c>
      <c r="E19" s="70" t="n">
        <v>1</v>
      </c>
      <c r="F19" s="70" t="s">
        <v>120</v>
      </c>
      <c r="G19" s="71" t="n">
        <v>45937</v>
      </c>
      <c r="H19" s="67" t="n">
        <f aca="false">G19+E19-1</f>
        <v>45937</v>
      </c>
    </row>
    <row r="20" customFormat="false" ht="15" hidden="false" customHeight="false" outlineLevel="0" collapsed="false">
      <c r="B20" s="68" t="n">
        <v>16</v>
      </c>
      <c r="C20" s="69" t="s">
        <v>50</v>
      </c>
      <c r="D20" s="70" t="s">
        <v>114</v>
      </c>
      <c r="E20" s="70" t="n">
        <v>1</v>
      </c>
      <c r="F20" s="70" t="s">
        <v>115</v>
      </c>
      <c r="G20" s="71" t="n">
        <v>45935</v>
      </c>
      <c r="H20" s="67" t="n">
        <f aca="false">G20+E20-1</f>
        <v>45935</v>
      </c>
    </row>
    <row r="21" customFormat="false" ht="15.75" hidden="false" customHeight="true" outlineLevel="0" collapsed="false">
      <c r="B21" s="68" t="n">
        <v>17</v>
      </c>
      <c r="C21" s="69" t="s">
        <v>51</v>
      </c>
      <c r="D21" s="70" t="s">
        <v>114</v>
      </c>
      <c r="E21" s="70" t="n">
        <v>1</v>
      </c>
      <c r="F21" s="70" t="s">
        <v>115</v>
      </c>
      <c r="G21" s="71" t="n">
        <v>45936</v>
      </c>
      <c r="H21" s="67" t="n">
        <f aca="false">G21+E21-1</f>
        <v>45936</v>
      </c>
      <c r="L21" s="12"/>
    </row>
    <row r="22" customFormat="false" ht="15.75" hidden="false" customHeight="true" outlineLevel="0" collapsed="false">
      <c r="B22" s="74" t="n">
        <v>18</v>
      </c>
      <c r="C22" s="75" t="s">
        <v>52</v>
      </c>
      <c r="D22" s="76" t="s">
        <v>114</v>
      </c>
      <c r="E22" s="76" t="n">
        <v>1</v>
      </c>
      <c r="F22" s="76" t="s">
        <v>118</v>
      </c>
      <c r="G22" s="77" t="n">
        <v>45936</v>
      </c>
      <c r="H22" s="67" t="n">
        <f aca="false">G22+E22-1</f>
        <v>45936</v>
      </c>
      <c r="L22" s="12"/>
    </row>
    <row r="23" customFormat="false" ht="15.75" hidden="false" customHeight="true" outlineLevel="0" collapsed="false">
      <c r="B23" s="68" t="n">
        <v>19</v>
      </c>
      <c r="C23" s="69" t="s">
        <v>53</v>
      </c>
      <c r="D23" s="70" t="s">
        <v>114</v>
      </c>
      <c r="E23" s="70" t="n">
        <v>1</v>
      </c>
      <c r="F23" s="70" t="s">
        <v>118</v>
      </c>
      <c r="G23" s="71" t="n">
        <v>45935</v>
      </c>
      <c r="H23" s="67" t="n">
        <f aca="false">G23+E23-1</f>
        <v>45935</v>
      </c>
    </row>
    <row r="24" customFormat="false" ht="15.75" hidden="false" customHeight="true" outlineLevel="0" collapsed="false">
      <c r="B24" s="74" t="n">
        <v>20</v>
      </c>
      <c r="C24" s="69" t="s">
        <v>127</v>
      </c>
      <c r="D24" s="70" t="s">
        <v>128</v>
      </c>
      <c r="E24" s="70" t="n">
        <v>3</v>
      </c>
      <c r="F24" s="70" t="s">
        <v>116</v>
      </c>
      <c r="G24" s="71" t="n">
        <v>45943</v>
      </c>
      <c r="H24" s="67" t="n">
        <f aca="false">G24+E24-1</f>
        <v>45945</v>
      </c>
    </row>
    <row r="25" customFormat="false" ht="15.75" hidden="false" customHeight="true" outlineLevel="0" collapsed="false">
      <c r="B25" s="68" t="n">
        <v>21</v>
      </c>
      <c r="C25" s="69" t="s">
        <v>129</v>
      </c>
      <c r="D25" s="70" t="s">
        <v>130</v>
      </c>
      <c r="E25" s="70" t="n">
        <v>3</v>
      </c>
      <c r="F25" s="70" t="s">
        <v>115</v>
      </c>
      <c r="G25" s="71" t="n">
        <v>45947</v>
      </c>
      <c r="H25" s="67" t="n">
        <v>45949</v>
      </c>
    </row>
    <row r="26" customFormat="false" ht="15.75" hidden="false" customHeight="true" outlineLevel="0" collapsed="false">
      <c r="B26" s="74" t="n">
        <v>22</v>
      </c>
      <c r="C26" s="69" t="s">
        <v>131</v>
      </c>
      <c r="D26" s="70" t="s">
        <v>132</v>
      </c>
      <c r="E26" s="70" t="n">
        <v>3</v>
      </c>
      <c r="F26" s="70" t="s">
        <v>118</v>
      </c>
      <c r="G26" s="71" t="n">
        <v>45944</v>
      </c>
      <c r="H26" s="67" t="n">
        <f aca="false">G26+E26-1</f>
        <v>45946</v>
      </c>
    </row>
    <row r="27" customFormat="false" ht="15.75" hidden="false" customHeight="true" outlineLevel="0" collapsed="false">
      <c r="B27" s="68" t="n">
        <v>23</v>
      </c>
      <c r="C27" s="69" t="s">
        <v>133</v>
      </c>
      <c r="D27" s="70" t="s">
        <v>134</v>
      </c>
      <c r="E27" s="70" t="n">
        <v>3</v>
      </c>
      <c r="F27" s="70" t="s">
        <v>119</v>
      </c>
      <c r="G27" s="71" t="n">
        <v>45947</v>
      </c>
      <c r="H27" s="67" t="n">
        <f aca="false">G27+E27-1</f>
        <v>45949</v>
      </c>
    </row>
    <row r="28" customFormat="false" ht="15.75" hidden="false" customHeight="true" outlineLevel="0" collapsed="false">
      <c r="B28" s="68" t="n">
        <v>24</v>
      </c>
      <c r="C28" s="69" t="s">
        <v>58</v>
      </c>
      <c r="D28" s="70" t="s">
        <v>135</v>
      </c>
      <c r="E28" s="70" t="n">
        <v>3</v>
      </c>
      <c r="F28" s="70" t="s">
        <v>120</v>
      </c>
      <c r="G28" s="71" t="n">
        <v>45946</v>
      </c>
      <c r="H28" s="67" t="n">
        <f aca="false">G28+E28-1</f>
        <v>45948</v>
      </c>
    </row>
    <row r="29" customFormat="false" ht="15.75" hidden="false" customHeight="true" outlineLevel="0" collapsed="false">
      <c r="B29" s="68" t="n">
        <v>25</v>
      </c>
      <c r="C29" s="69" t="s">
        <v>59</v>
      </c>
      <c r="D29" s="70" t="s">
        <v>114</v>
      </c>
      <c r="E29" s="70" t="n">
        <v>1</v>
      </c>
      <c r="F29" s="70" t="s">
        <v>136</v>
      </c>
      <c r="G29" s="71" t="n">
        <v>45948</v>
      </c>
      <c r="H29" s="67" t="n">
        <f aca="false">G29+E29-1</f>
        <v>45948</v>
      </c>
    </row>
    <row r="30" customFormat="false" ht="15.75" hidden="false" customHeight="true" outlineLevel="0" collapsed="false">
      <c r="B30" s="68" t="n">
        <v>26</v>
      </c>
      <c r="C30" s="69" t="s">
        <v>137</v>
      </c>
      <c r="D30" s="73" t="s">
        <v>138</v>
      </c>
      <c r="E30" s="70" t="n">
        <v>3</v>
      </c>
      <c r="F30" s="70" t="s">
        <v>122</v>
      </c>
      <c r="G30" s="71" t="n">
        <v>45950</v>
      </c>
      <c r="H30" s="67" t="n">
        <f aca="false">G30+E30-1</f>
        <v>45952</v>
      </c>
    </row>
    <row r="31" customFormat="false" ht="15.75" hidden="false" customHeight="true" outlineLevel="0" collapsed="false">
      <c r="B31" s="68" t="n">
        <v>27</v>
      </c>
      <c r="C31" s="69" t="s">
        <v>139</v>
      </c>
      <c r="D31" s="70" t="s">
        <v>140</v>
      </c>
      <c r="E31" s="70" t="n">
        <v>3</v>
      </c>
      <c r="F31" s="70" t="s">
        <v>122</v>
      </c>
      <c r="G31" s="71" t="n">
        <v>45952</v>
      </c>
      <c r="H31" s="67" t="n">
        <f aca="false">G31+E31-1</f>
        <v>45954</v>
      </c>
    </row>
    <row r="32" customFormat="false" ht="15.75" hidden="false" customHeight="true" outlineLevel="0" collapsed="false">
      <c r="B32" s="68" t="n">
        <v>28</v>
      </c>
      <c r="C32" s="69" t="s">
        <v>141</v>
      </c>
      <c r="D32" s="70" t="s">
        <v>142</v>
      </c>
      <c r="E32" s="70" t="n">
        <v>4</v>
      </c>
      <c r="F32" s="70" t="s">
        <v>122</v>
      </c>
      <c r="G32" s="71" t="n">
        <v>45953</v>
      </c>
      <c r="H32" s="67" t="n">
        <f aca="false">G32+E32-1</f>
        <v>45956</v>
      </c>
    </row>
    <row r="33" customFormat="false" ht="15.75" hidden="false" customHeight="true" outlineLevel="0" collapsed="false">
      <c r="B33" s="68" t="n">
        <v>29</v>
      </c>
      <c r="C33" s="69" t="s">
        <v>143</v>
      </c>
      <c r="D33" s="70" t="s">
        <v>144</v>
      </c>
      <c r="E33" s="70" t="n">
        <v>3</v>
      </c>
      <c r="F33" s="72" t="s">
        <v>125</v>
      </c>
      <c r="G33" s="71" t="n">
        <v>45952</v>
      </c>
      <c r="H33" s="67" t="n">
        <f aca="false">G33+E33-1</f>
        <v>45954</v>
      </c>
    </row>
    <row r="34" customFormat="false" ht="15.75" hidden="false" customHeight="true" outlineLevel="0" collapsed="false">
      <c r="B34" s="68" t="n">
        <v>30</v>
      </c>
      <c r="C34" s="69" t="s">
        <v>145</v>
      </c>
      <c r="D34" s="70" t="s">
        <v>140</v>
      </c>
      <c r="E34" s="70" t="n">
        <v>3</v>
      </c>
      <c r="F34" s="72" t="s">
        <v>125</v>
      </c>
      <c r="G34" s="71" t="n">
        <v>45950</v>
      </c>
      <c r="H34" s="67" t="n">
        <f aca="false">G34+E34-1</f>
        <v>45952</v>
      </c>
    </row>
    <row r="35" customFormat="false" ht="15.75" hidden="false" customHeight="true" outlineLevel="0" collapsed="false">
      <c r="B35" s="68" t="n">
        <v>31</v>
      </c>
      <c r="C35" s="69" t="s">
        <v>146</v>
      </c>
      <c r="D35" s="70" t="s">
        <v>142</v>
      </c>
      <c r="E35" s="70" t="n">
        <v>4</v>
      </c>
      <c r="F35" s="72" t="s">
        <v>125</v>
      </c>
      <c r="G35" s="71" t="n">
        <v>45953</v>
      </c>
      <c r="H35" s="67" t="n">
        <f aca="false">G35+E35-1</f>
        <v>45956</v>
      </c>
    </row>
    <row r="36" customFormat="false" ht="15.75" hidden="false" customHeight="true" outlineLevel="0" collapsed="false">
      <c r="B36" s="68" t="n">
        <v>32</v>
      </c>
      <c r="C36" s="69" t="s">
        <v>147</v>
      </c>
      <c r="D36" s="70" t="s">
        <v>140</v>
      </c>
      <c r="E36" s="70" t="n">
        <v>1</v>
      </c>
      <c r="F36" s="70" t="s">
        <v>116</v>
      </c>
      <c r="G36" s="71" t="n">
        <v>45949</v>
      </c>
      <c r="H36" s="67" t="n">
        <f aca="false">G36+E36-1</f>
        <v>45949</v>
      </c>
    </row>
    <row r="37" customFormat="false" ht="15.75" hidden="false" customHeight="true" outlineLevel="0" collapsed="false">
      <c r="B37" s="74" t="n">
        <v>33</v>
      </c>
      <c r="C37" s="75" t="s">
        <v>148</v>
      </c>
      <c r="D37" s="76" t="s">
        <v>140</v>
      </c>
      <c r="E37" s="76" t="n">
        <v>1</v>
      </c>
      <c r="F37" s="76" t="s">
        <v>136</v>
      </c>
      <c r="G37" s="77" t="n">
        <v>45956</v>
      </c>
      <c r="H37" s="67" t="n">
        <f aca="false">G37+E37-1</f>
        <v>45956</v>
      </c>
      <c r="M37" s="12"/>
      <c r="N37" s="12"/>
      <c r="O37" s="12"/>
    </row>
    <row r="38" customFormat="false" ht="15.75" hidden="false" customHeight="true" outlineLevel="0" collapsed="false">
      <c r="B38" s="74" t="n">
        <v>34</v>
      </c>
      <c r="C38" s="69" t="s">
        <v>83</v>
      </c>
      <c r="D38" s="70" t="s">
        <v>114</v>
      </c>
      <c r="E38" s="78" t="n">
        <v>2</v>
      </c>
      <c r="F38" s="70" t="s">
        <v>136</v>
      </c>
      <c r="G38" s="77" t="n">
        <v>45969</v>
      </c>
      <c r="H38" s="67" t="n">
        <f aca="false">G38+E38-1</f>
        <v>45970</v>
      </c>
      <c r="L38" s="12"/>
    </row>
    <row r="39" customFormat="false" ht="15.75" hidden="false" customHeight="true" outlineLevel="0" collapsed="false">
      <c r="B39" s="74" t="n">
        <v>35</v>
      </c>
      <c r="C39" s="69" t="s">
        <v>82</v>
      </c>
      <c r="D39" s="70" t="s">
        <v>114</v>
      </c>
      <c r="E39" s="78" t="n">
        <v>5</v>
      </c>
      <c r="F39" s="70" t="s">
        <v>136</v>
      </c>
      <c r="G39" s="77" t="n">
        <v>45966</v>
      </c>
      <c r="H39" s="67" t="n">
        <f aca="false">G39+E39-1</f>
        <v>45970</v>
      </c>
      <c r="L39" s="12"/>
      <c r="M39" s="12"/>
      <c r="N39" s="12"/>
      <c r="O39" s="12"/>
    </row>
    <row r="40" customFormat="false" ht="15.75" hidden="false" customHeight="true" outlineLevel="0" collapsed="false">
      <c r="B40" s="74" t="n">
        <v>36</v>
      </c>
      <c r="C40" s="69" t="s">
        <v>89</v>
      </c>
      <c r="D40" s="70" t="s">
        <v>149</v>
      </c>
      <c r="E40" s="78" t="n">
        <v>6</v>
      </c>
      <c r="F40" s="70" t="s">
        <v>115</v>
      </c>
      <c r="G40" s="79" t="n">
        <v>45961</v>
      </c>
      <c r="H40" s="67" t="n">
        <f aca="false">G40+E40-1</f>
        <v>45966</v>
      </c>
      <c r="L40" s="12"/>
      <c r="M40" s="12"/>
      <c r="N40" s="12"/>
      <c r="O40" s="12"/>
    </row>
    <row r="41" customFormat="false" ht="15.75" hidden="false" customHeight="true" outlineLevel="0" collapsed="false">
      <c r="B41" s="74" t="n">
        <v>37</v>
      </c>
      <c r="C41" s="80" t="s">
        <v>84</v>
      </c>
      <c r="D41" s="78" t="s">
        <v>150</v>
      </c>
      <c r="E41" s="78" t="n">
        <v>5</v>
      </c>
      <c r="F41" s="78" t="s">
        <v>116</v>
      </c>
      <c r="G41" s="79" t="n">
        <v>45968</v>
      </c>
      <c r="H41" s="67" t="n">
        <f aca="false">G41+E41-1</f>
        <v>45972</v>
      </c>
    </row>
    <row r="42" customFormat="false" ht="15.75" hidden="false" customHeight="true" outlineLevel="0" collapsed="false">
      <c r="B42" s="74" t="n">
        <v>38</v>
      </c>
      <c r="C42" s="81" t="s">
        <v>85</v>
      </c>
      <c r="D42" s="82" t="s">
        <v>114</v>
      </c>
      <c r="E42" s="78" t="n">
        <v>8</v>
      </c>
      <c r="F42" s="78" t="s">
        <v>115</v>
      </c>
      <c r="G42" s="79" t="n">
        <v>45968</v>
      </c>
      <c r="H42" s="67" t="n">
        <f aca="false">G42+E42-1</f>
        <v>45975</v>
      </c>
    </row>
    <row r="43" customFormat="false" ht="15.75" hidden="false" customHeight="true" outlineLevel="0" collapsed="false">
      <c r="B43" s="74" t="n">
        <v>39</v>
      </c>
      <c r="C43" s="81" t="s">
        <v>86</v>
      </c>
      <c r="D43" s="78" t="s">
        <v>151</v>
      </c>
      <c r="E43" s="78" t="n">
        <v>6</v>
      </c>
      <c r="F43" s="78" t="s">
        <v>118</v>
      </c>
      <c r="G43" s="79" t="n">
        <v>45973</v>
      </c>
      <c r="H43" s="67" t="n">
        <f aca="false">G43+E43-1</f>
        <v>45978</v>
      </c>
      <c r="L43" s="12"/>
      <c r="M43" s="12"/>
      <c r="N43" s="12"/>
      <c r="O43" s="12"/>
    </row>
    <row r="44" customFormat="false" ht="15.75" hidden="false" customHeight="true" outlineLevel="0" collapsed="false">
      <c r="B44" s="83" t="n">
        <v>40</v>
      </c>
      <c r="C44" s="81" t="s">
        <v>87</v>
      </c>
      <c r="D44" s="55" t="s">
        <v>114</v>
      </c>
      <c r="E44" s="55" t="n">
        <v>4</v>
      </c>
      <c r="F44" s="55" t="s">
        <v>119</v>
      </c>
      <c r="G44" s="79" t="n">
        <v>45970</v>
      </c>
      <c r="H44" s="67" t="n">
        <f aca="false">G44+E44-1</f>
        <v>45973</v>
      </c>
      <c r="L44" s="12"/>
      <c r="M44" s="12"/>
      <c r="N44" s="12"/>
      <c r="O44" s="12"/>
    </row>
    <row r="45" customFormat="false" ht="15.75" hidden="false" customHeight="true" outlineLevel="0" collapsed="false">
      <c r="B45" s="83" t="n">
        <v>41</v>
      </c>
      <c r="C45" s="81" t="s">
        <v>88</v>
      </c>
      <c r="D45" s="55" t="s">
        <v>152</v>
      </c>
      <c r="E45" s="55" t="n">
        <v>3</v>
      </c>
      <c r="F45" s="55" t="s">
        <v>118</v>
      </c>
      <c r="G45" s="79" t="n">
        <v>45973</v>
      </c>
      <c r="H45" s="67" t="n">
        <f aca="false">G45+E45-1</f>
        <v>45975</v>
      </c>
      <c r="L45" s="12"/>
      <c r="M45" s="12"/>
      <c r="N45" s="12"/>
      <c r="O45" s="12"/>
    </row>
    <row r="46" customFormat="false" ht="15.75" hidden="false" customHeight="true" outlineLevel="0" collapsed="false">
      <c r="B46" s="83" t="n">
        <v>42</v>
      </c>
      <c r="C46" s="81" t="s">
        <v>90</v>
      </c>
      <c r="D46" s="55" t="s">
        <v>114</v>
      </c>
      <c r="E46" s="55" t="n">
        <v>5</v>
      </c>
      <c r="F46" s="55" t="s">
        <v>119</v>
      </c>
      <c r="G46" s="79" t="n">
        <v>45967</v>
      </c>
      <c r="H46" s="67" t="n">
        <f aca="false">G46+E46-1</f>
        <v>45971</v>
      </c>
      <c r="L46" s="12"/>
      <c r="M46" s="12"/>
      <c r="N46" s="12"/>
      <c r="O46" s="12"/>
    </row>
    <row r="47" customFormat="false" ht="15.75" hidden="false" customHeight="true" outlineLevel="0" collapsed="false">
      <c r="B47" s="83" t="n">
        <v>43</v>
      </c>
      <c r="C47" s="81" t="s">
        <v>91</v>
      </c>
      <c r="D47" s="55" t="s">
        <v>153</v>
      </c>
      <c r="E47" s="55" t="n">
        <v>5</v>
      </c>
      <c r="F47" s="55" t="s">
        <v>120</v>
      </c>
      <c r="G47" s="79" t="n">
        <v>45979</v>
      </c>
      <c r="H47" s="67" t="n">
        <f aca="false">G47+E47-1</f>
        <v>45983</v>
      </c>
      <c r="L47" s="12"/>
      <c r="M47" s="12"/>
      <c r="N47" s="12"/>
      <c r="O47" s="12"/>
    </row>
    <row r="48" customFormat="false" ht="15.75" hidden="false" customHeight="true" outlineLevel="0" collapsed="false">
      <c r="B48" s="83" t="n">
        <v>44</v>
      </c>
      <c r="C48" s="81" t="s">
        <v>92</v>
      </c>
      <c r="D48" s="55" t="s">
        <v>154</v>
      </c>
      <c r="E48" s="55" t="n">
        <v>3</v>
      </c>
      <c r="F48" s="55" t="s">
        <v>116</v>
      </c>
      <c r="G48" s="79" t="n">
        <v>45973</v>
      </c>
      <c r="H48" s="67" t="n">
        <f aca="false">G48+E48-1</f>
        <v>45975</v>
      </c>
      <c r="L48" s="12"/>
      <c r="M48" s="12"/>
      <c r="N48" s="12"/>
      <c r="O48" s="12"/>
    </row>
    <row r="49" customFormat="false" ht="15.75" hidden="false" customHeight="true" outlineLevel="0" collapsed="false">
      <c r="B49" s="83" t="n">
        <v>45</v>
      </c>
      <c r="C49" s="81" t="s">
        <v>93</v>
      </c>
      <c r="D49" s="55" t="s">
        <v>155</v>
      </c>
      <c r="E49" s="55" t="n">
        <v>4</v>
      </c>
      <c r="F49" s="55" t="s">
        <v>120</v>
      </c>
      <c r="G49" s="79" t="n">
        <v>45977</v>
      </c>
      <c r="H49" s="67" t="n">
        <f aca="false">G49+E49-1</f>
        <v>45980</v>
      </c>
      <c r="L49" s="12"/>
      <c r="M49" s="12"/>
      <c r="N49" s="12"/>
      <c r="O49" s="12"/>
    </row>
    <row r="50" customFormat="false" ht="15.75" hidden="false" customHeight="true" outlineLevel="0" collapsed="false">
      <c r="B50" s="83" t="n">
        <v>46</v>
      </c>
      <c r="C50" s="54" t="s">
        <v>94</v>
      </c>
      <c r="D50" s="55" t="s">
        <v>114</v>
      </c>
      <c r="E50" s="55" t="n">
        <v>7</v>
      </c>
      <c r="F50" s="55" t="s">
        <v>136</v>
      </c>
      <c r="G50" s="79" t="n">
        <v>45983</v>
      </c>
      <c r="H50" s="67" t="n">
        <f aca="false">G50+E50-1</f>
        <v>45989</v>
      </c>
      <c r="L50" s="12"/>
      <c r="M50" s="12"/>
      <c r="N50" s="12"/>
      <c r="O50" s="12"/>
    </row>
    <row r="51" customFormat="false" ht="15.75" hidden="false" customHeight="true" outlineLevel="0" collapsed="false">
      <c r="B51" s="83" t="n">
        <v>47</v>
      </c>
      <c r="C51" s="54" t="s">
        <v>95</v>
      </c>
      <c r="D51" s="55" t="s">
        <v>156</v>
      </c>
      <c r="E51" s="55" t="n">
        <v>2</v>
      </c>
      <c r="F51" s="55" t="s">
        <v>116</v>
      </c>
      <c r="G51" s="79" t="n">
        <v>45984</v>
      </c>
      <c r="H51" s="67" t="n">
        <f aca="false">G51+E51-1</f>
        <v>45985</v>
      </c>
      <c r="L51" s="12"/>
      <c r="M51" s="12"/>
      <c r="N51" s="12"/>
      <c r="O51" s="12"/>
    </row>
    <row r="52" customFormat="false" ht="15.75" hidden="false" customHeight="true" outlineLevel="0" collapsed="false">
      <c r="B52" s="83" t="n">
        <v>48</v>
      </c>
      <c r="C52" s="54" t="s">
        <v>96</v>
      </c>
      <c r="D52" s="55" t="s">
        <v>156</v>
      </c>
      <c r="E52" s="55" t="n">
        <v>2</v>
      </c>
      <c r="F52" s="55" t="s">
        <v>120</v>
      </c>
      <c r="G52" s="79" t="n">
        <v>45984</v>
      </c>
      <c r="H52" s="67" t="n">
        <f aca="false">G52+E52-1</f>
        <v>45985</v>
      </c>
      <c r="L52" s="12"/>
      <c r="M52" s="12"/>
      <c r="N52" s="12"/>
      <c r="O52" s="12"/>
    </row>
    <row r="53" customFormat="false" ht="15.75" hidden="false" customHeight="true" outlineLevel="0" collapsed="false">
      <c r="B53" s="83" t="n">
        <v>49</v>
      </c>
      <c r="C53" s="54" t="s">
        <v>97</v>
      </c>
      <c r="D53" s="55" t="s">
        <v>156</v>
      </c>
      <c r="E53" s="55" t="n">
        <v>2</v>
      </c>
      <c r="F53" s="55" t="s">
        <v>115</v>
      </c>
      <c r="G53" s="79" t="n">
        <v>45984</v>
      </c>
      <c r="H53" s="67" t="n">
        <f aca="false">G53+E53-1</f>
        <v>45985</v>
      </c>
    </row>
    <row r="54" customFormat="false" ht="15.75" hidden="false" customHeight="true" outlineLevel="0" collapsed="false">
      <c r="B54" s="83" t="n">
        <v>50</v>
      </c>
      <c r="C54" s="54" t="s">
        <v>98</v>
      </c>
      <c r="D54" s="55" t="s">
        <v>156</v>
      </c>
      <c r="E54" s="55" t="n">
        <v>2</v>
      </c>
      <c r="F54" s="55" t="s">
        <v>118</v>
      </c>
      <c r="G54" s="79" t="n">
        <v>45984</v>
      </c>
      <c r="H54" s="67" t="n">
        <f aca="false">G54+E54-1</f>
        <v>45985</v>
      </c>
    </row>
    <row r="55" customFormat="false" ht="15.75" hidden="false" customHeight="true" outlineLevel="0" collapsed="false">
      <c r="B55" s="83" t="n">
        <v>51</v>
      </c>
      <c r="C55" s="54" t="s">
        <v>99</v>
      </c>
      <c r="D55" s="55" t="s">
        <v>156</v>
      </c>
      <c r="E55" s="55" t="n">
        <v>2</v>
      </c>
      <c r="F55" s="55" t="s">
        <v>120</v>
      </c>
      <c r="G55" s="79" t="n">
        <v>45984</v>
      </c>
      <c r="H55" s="67" t="n">
        <f aca="false">G55+E55-1</f>
        <v>45985</v>
      </c>
    </row>
    <row r="56" customFormat="false" ht="15.75" hidden="false" customHeight="true" outlineLevel="0" collapsed="false">
      <c r="B56" s="83" t="n">
        <v>52</v>
      </c>
      <c r="C56" s="54" t="s">
        <v>100</v>
      </c>
      <c r="D56" s="55" t="s">
        <v>156</v>
      </c>
      <c r="E56" s="55" t="n">
        <v>2</v>
      </c>
      <c r="F56" s="55" t="s">
        <v>116</v>
      </c>
      <c r="G56" s="79" t="n">
        <v>45984</v>
      </c>
      <c r="H56" s="67" t="n">
        <f aca="false">G56+E56-1</f>
        <v>45985</v>
      </c>
    </row>
    <row r="57" customFormat="false" ht="15.75" hidden="false" customHeight="true" outlineLevel="0" collapsed="false">
      <c r="B57" s="83" t="n">
        <v>53</v>
      </c>
      <c r="C57" s="56" t="s">
        <v>101</v>
      </c>
      <c r="D57" s="55" t="s">
        <v>156</v>
      </c>
      <c r="E57" s="55" t="n">
        <v>2</v>
      </c>
      <c r="F57" s="55" t="s">
        <v>118</v>
      </c>
      <c r="G57" s="79" t="n">
        <v>45984</v>
      </c>
      <c r="H57" s="67" t="n">
        <f aca="false">G57+E57-1</f>
        <v>45985</v>
      </c>
    </row>
    <row r="58" customFormat="false" ht="15.75" hidden="false" customHeight="true" outlineLevel="0" collapsed="false">
      <c r="B58" s="83" t="n">
        <v>54</v>
      </c>
      <c r="C58" s="54" t="s">
        <v>102</v>
      </c>
      <c r="D58" s="55" t="s">
        <v>156</v>
      </c>
      <c r="E58" s="55" t="n">
        <v>2</v>
      </c>
      <c r="F58" s="55" t="s">
        <v>119</v>
      </c>
      <c r="G58" s="79" t="n">
        <v>45984</v>
      </c>
      <c r="H58" s="67" t="n">
        <f aca="false">G58+E58-1</f>
        <v>45985</v>
      </c>
    </row>
    <row r="59" customFormat="false" ht="15.75" hidden="false" customHeight="true" outlineLevel="0" collapsed="false">
      <c r="B59" s="84" t="n">
        <v>55</v>
      </c>
      <c r="C59" s="85" t="s">
        <v>103</v>
      </c>
      <c r="D59" s="86" t="s">
        <v>156</v>
      </c>
      <c r="E59" s="86" t="n">
        <v>2</v>
      </c>
      <c r="F59" s="86" t="s">
        <v>115</v>
      </c>
      <c r="G59" s="87" t="n">
        <v>45984</v>
      </c>
      <c r="H59" s="88" t="n">
        <f aca="false">G59+E59-1</f>
        <v>45985</v>
      </c>
    </row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8">
    <mergeCell ref="B2:H2"/>
    <mergeCell ref="B3:B4"/>
    <mergeCell ref="C3:C4"/>
    <mergeCell ref="D3:D4"/>
    <mergeCell ref="E3:E4"/>
    <mergeCell ref="F3:F4"/>
    <mergeCell ref="G3:G4"/>
    <mergeCell ref="H3:H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100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7.11"/>
    <col collapsed="false" customWidth="true" hidden="false" outlineLevel="0" max="3" min="3" style="0" width="73.11"/>
    <col collapsed="false" customWidth="true" hidden="false" outlineLevel="0" max="4" min="4" style="0" width="16.89"/>
    <col collapsed="false" customWidth="true" hidden="false" outlineLevel="0" max="11" min="5" style="0" width="10"/>
    <col collapsed="false" customWidth="true" hidden="false" outlineLevel="0" max="26" min="12" style="0" width="9"/>
  </cols>
  <sheetData>
    <row r="2" customFormat="false" ht="24.45" hidden="false" customHeight="false" outlineLevel="0" collapsed="false">
      <c r="B2" s="89" t="s">
        <v>157</v>
      </c>
      <c r="C2" s="89"/>
      <c r="D2" s="89"/>
      <c r="E2" s="89"/>
      <c r="F2" s="89"/>
      <c r="G2" s="89"/>
      <c r="H2" s="89"/>
      <c r="I2" s="89"/>
      <c r="J2" s="89"/>
      <c r="K2" s="89"/>
    </row>
    <row r="3" customFormat="false" ht="15" hidden="false" customHeight="false" outlineLevel="0" collapsed="false">
      <c r="B3" s="90"/>
      <c r="C3" s="90"/>
      <c r="D3" s="90"/>
      <c r="E3" s="90"/>
      <c r="F3" s="90"/>
      <c r="G3" s="90"/>
      <c r="H3" s="90"/>
      <c r="I3" s="90"/>
      <c r="J3" s="90"/>
      <c r="K3" s="90"/>
    </row>
    <row r="4" customFormat="false" ht="15" hidden="false" customHeight="true" outlineLevel="0" collapsed="false">
      <c r="B4" s="4" t="s">
        <v>1</v>
      </c>
      <c r="C4" s="5" t="s">
        <v>2</v>
      </c>
      <c r="D4" s="91" t="s">
        <v>3</v>
      </c>
      <c r="E4" s="8" t="n">
        <v>45928</v>
      </c>
      <c r="F4" s="8" t="n">
        <v>45929</v>
      </c>
      <c r="G4" s="8" t="n">
        <v>45930</v>
      </c>
      <c r="H4" s="8" t="n">
        <v>45931</v>
      </c>
      <c r="I4" s="8" t="n">
        <v>45932</v>
      </c>
      <c r="J4" s="8" t="n">
        <v>45933</v>
      </c>
      <c r="K4" s="8" t="n">
        <v>45934</v>
      </c>
    </row>
    <row r="5" customFormat="false" ht="15" hidden="false" customHeight="false" outlineLevel="0" collapsed="false">
      <c r="B5" s="4"/>
      <c r="C5" s="5"/>
      <c r="D5" s="5"/>
      <c r="E5" s="10" t="s">
        <v>4</v>
      </c>
      <c r="F5" s="10" t="s">
        <v>5</v>
      </c>
      <c r="G5" s="10" t="s">
        <v>6</v>
      </c>
      <c r="H5" s="10" t="s">
        <v>7</v>
      </c>
      <c r="I5" s="10" t="s">
        <v>8</v>
      </c>
      <c r="J5" s="10" t="s">
        <v>9</v>
      </c>
      <c r="K5" s="10" t="s">
        <v>10</v>
      </c>
      <c r="N5" s="12" t="s">
        <v>33</v>
      </c>
    </row>
    <row r="6" customFormat="false" ht="15" hidden="false" customHeight="false" outlineLevel="0" collapsed="false">
      <c r="B6" s="13" t="n">
        <v>1</v>
      </c>
      <c r="C6" s="14" t="s">
        <v>158</v>
      </c>
      <c r="D6" s="15" t="n">
        <v>6</v>
      </c>
      <c r="E6" s="21" t="n">
        <v>0</v>
      </c>
      <c r="F6" s="21" t="n">
        <v>0</v>
      </c>
      <c r="G6" s="21" t="n">
        <v>2</v>
      </c>
      <c r="H6" s="21" t="n">
        <v>1</v>
      </c>
      <c r="I6" s="21" t="n">
        <v>1</v>
      </c>
      <c r="J6" s="21" t="n">
        <v>0</v>
      </c>
      <c r="K6" s="21" t="n">
        <v>2</v>
      </c>
    </row>
    <row r="7" customFormat="false" ht="15" hidden="false" customHeight="false" outlineLevel="0" collapsed="false">
      <c r="B7" s="19" t="n">
        <v>2</v>
      </c>
      <c r="C7" s="20" t="s">
        <v>35</v>
      </c>
      <c r="D7" s="15" t="n">
        <v>6</v>
      </c>
      <c r="E7" s="21" t="n">
        <v>0</v>
      </c>
      <c r="F7" s="21" t="n">
        <v>0</v>
      </c>
      <c r="G7" s="21" t="n">
        <v>0</v>
      </c>
      <c r="H7" s="21" t="n">
        <v>2</v>
      </c>
      <c r="I7" s="21" t="n">
        <v>3</v>
      </c>
      <c r="J7" s="21" t="n">
        <v>1</v>
      </c>
      <c r="K7" s="21" t="n">
        <v>0</v>
      </c>
      <c r="N7" s="12" t="s">
        <v>36</v>
      </c>
    </row>
    <row r="8" customFormat="false" ht="15" hidden="false" customHeight="false" outlineLevel="0" collapsed="false">
      <c r="B8" s="19" t="n">
        <v>3</v>
      </c>
      <c r="C8" s="20" t="s">
        <v>159</v>
      </c>
      <c r="D8" s="15" t="n">
        <v>6</v>
      </c>
      <c r="E8" s="21" t="n">
        <v>0</v>
      </c>
      <c r="F8" s="21" t="n">
        <v>0</v>
      </c>
      <c r="G8" s="21" t="n">
        <v>3</v>
      </c>
      <c r="H8" s="21" t="n">
        <v>2</v>
      </c>
      <c r="I8" s="21" t="n">
        <v>1</v>
      </c>
      <c r="J8" s="21" t="n">
        <v>0</v>
      </c>
      <c r="K8" s="21" t="n">
        <v>0</v>
      </c>
    </row>
    <row r="9" customFormat="false" ht="15" hidden="false" customHeight="false" outlineLevel="0" collapsed="false">
      <c r="B9" s="19" t="n">
        <v>4</v>
      </c>
      <c r="C9" s="20" t="s">
        <v>38</v>
      </c>
      <c r="D9" s="15" t="n">
        <v>6</v>
      </c>
      <c r="E9" s="21" t="n">
        <v>0</v>
      </c>
      <c r="F9" s="21" t="n">
        <v>0</v>
      </c>
      <c r="G9" s="21" t="n">
        <v>0</v>
      </c>
      <c r="H9" s="21" t="n">
        <v>2</v>
      </c>
      <c r="I9" s="21" t="n">
        <v>3</v>
      </c>
      <c r="J9" s="21" t="n">
        <v>1</v>
      </c>
      <c r="K9" s="21" t="n">
        <v>0</v>
      </c>
    </row>
    <row r="10" customFormat="false" ht="15" hidden="false" customHeight="false" outlineLevel="0" collapsed="false">
      <c r="B10" s="19" t="n">
        <v>5</v>
      </c>
      <c r="C10" s="20" t="s">
        <v>39</v>
      </c>
      <c r="D10" s="15" t="n">
        <v>6</v>
      </c>
      <c r="E10" s="21" t="n">
        <v>0</v>
      </c>
      <c r="F10" s="21" t="n">
        <v>0</v>
      </c>
      <c r="G10" s="21" t="n">
        <v>0</v>
      </c>
      <c r="H10" s="21" t="n">
        <v>0</v>
      </c>
      <c r="I10" s="21" t="n">
        <v>2</v>
      </c>
      <c r="J10" s="21" t="n">
        <v>2</v>
      </c>
      <c r="K10" s="21" t="n">
        <v>2</v>
      </c>
    </row>
    <row r="11" customFormat="false" ht="15" hidden="false" customHeight="true" outlineLevel="0" collapsed="false">
      <c r="B11" s="33" t="s">
        <v>68</v>
      </c>
      <c r="C11" s="33"/>
      <c r="D11" s="37" t="n">
        <v>0</v>
      </c>
      <c r="E11" s="92" t="n">
        <f aca="false">SUM(E6:E10)</f>
        <v>0</v>
      </c>
      <c r="F11" s="92" t="n">
        <f aca="false">SUM(F6:F10)</f>
        <v>0</v>
      </c>
      <c r="G11" s="92" t="n">
        <f aca="false">SUM(G6:G10)</f>
        <v>5</v>
      </c>
      <c r="H11" s="92" t="n">
        <f aca="false">SUM(H6:H10)</f>
        <v>7</v>
      </c>
      <c r="I11" s="92" t="n">
        <f aca="false">SUM(I6:I10)</f>
        <v>10</v>
      </c>
      <c r="J11" s="92" t="n">
        <f aca="false">SUM(J6:J10)</f>
        <v>4</v>
      </c>
      <c r="K11" s="92" t="n">
        <f aca="false">SUM(K6:K10)</f>
        <v>4</v>
      </c>
      <c r="L11" s="93"/>
    </row>
    <row r="12" customFormat="false" ht="15" hidden="false" customHeight="false" outlineLevel="0" collapsed="false">
      <c r="B12" s="38" t="s">
        <v>69</v>
      </c>
      <c r="C12" s="38"/>
      <c r="D12" s="39" t="n">
        <f aca="false">SUM(D6:D11)</f>
        <v>30</v>
      </c>
      <c r="E12" s="40" t="n">
        <f aca="false">D12-SUM(E6:E10)</f>
        <v>30</v>
      </c>
      <c r="F12" s="41" t="n">
        <f aca="false">E12-SUM(F6:F10)</f>
        <v>30</v>
      </c>
      <c r="G12" s="41" t="n">
        <f aca="false">F12-SUM(G6:G10)</f>
        <v>25</v>
      </c>
      <c r="H12" s="41" t="n">
        <f aca="false">G12-SUM(H6:H10)</f>
        <v>18</v>
      </c>
      <c r="I12" s="41" t="n">
        <f aca="false">H12-SUM(I6:I10)</f>
        <v>8</v>
      </c>
      <c r="J12" s="94" t="n">
        <f aca="false">I12-SUM(J6:J10)</f>
        <v>4</v>
      </c>
      <c r="K12" s="94" t="n">
        <f aca="false">J12-SUM(K6:K10)</f>
        <v>0</v>
      </c>
    </row>
    <row r="13" customFormat="false" ht="15" hidden="false" customHeight="false" outlineLevel="0" collapsed="false">
      <c r="B13" s="43" t="s">
        <v>70</v>
      </c>
      <c r="C13" s="43"/>
      <c r="D13" s="44" t="n">
        <f aca="false">D12</f>
        <v>30</v>
      </c>
      <c r="E13" s="45" t="n">
        <f aca="false">$D$13-($D$13/7*1)</f>
        <v>25.7142857142857</v>
      </c>
      <c r="F13" s="46" t="n">
        <f aca="false">$D$13-($D$13/7*2)</f>
        <v>21.4285714285714</v>
      </c>
      <c r="G13" s="46" t="n">
        <f aca="false">$D$13-($D$13/7*3)</f>
        <v>17.1428571428571</v>
      </c>
      <c r="H13" s="46" t="n">
        <f aca="false">$D$13-($D$13/7*4)</f>
        <v>12.8571428571429</v>
      </c>
      <c r="I13" s="46" t="n">
        <f aca="false">$D$13-($D$13/7*5)</f>
        <v>8.57142857142857</v>
      </c>
      <c r="J13" s="46" t="n">
        <f aca="false">$D$13-($D$13/7*6)</f>
        <v>4.28571428571429</v>
      </c>
      <c r="K13" s="46" t="n">
        <f aca="false">$D$13-($D$13/7*7)</f>
        <v>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8">
    <mergeCell ref="B2:K2"/>
    <mergeCell ref="B3:K3"/>
    <mergeCell ref="B4:B5"/>
    <mergeCell ref="C4:C5"/>
    <mergeCell ref="D4:D5"/>
    <mergeCell ref="B11:C11"/>
    <mergeCell ref="B12:C12"/>
    <mergeCell ref="B13:C1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000"/>
  <sheetViews>
    <sheetView showFormulas="false" showGridLines="true" showRowColHeaders="true" showZeros="true" rightToLeft="false" tabSelected="false" showOutlineSymbols="true" defaultGridColor="true" view="normal" topLeftCell="AK1" colorId="64" zoomScale="80" zoomScaleNormal="80" zoomScalePageLayoutView="100" workbookViewId="0">
      <selection pane="topLeft" activeCell="AK1" activeCellId="0" sqref="AK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7.11"/>
    <col collapsed="false" customWidth="true" hidden="false" outlineLevel="0" max="3" min="3" style="0" width="73.11"/>
    <col collapsed="false" customWidth="true" hidden="false" outlineLevel="0" max="4" min="4" style="0" width="15.56"/>
    <col collapsed="false" customWidth="true" hidden="false" outlineLevel="0" max="11" min="5" style="0" width="10"/>
    <col collapsed="false" customWidth="true" hidden="false" outlineLevel="0" max="26" min="12" style="0" width="9"/>
  </cols>
  <sheetData>
    <row r="2" customFormat="false" ht="24.45" hidden="false" customHeight="false" outlineLevel="0" collapsed="false">
      <c r="B2" s="89" t="s">
        <v>160</v>
      </c>
      <c r="C2" s="89"/>
      <c r="D2" s="89"/>
      <c r="E2" s="89"/>
      <c r="F2" s="89"/>
      <c r="G2" s="89"/>
      <c r="H2" s="89"/>
      <c r="I2" s="89"/>
      <c r="J2" s="89"/>
      <c r="K2" s="89"/>
    </row>
    <row r="3" customFormat="false" ht="15" hidden="false" customHeight="false" outlineLevel="0" collapsed="false">
      <c r="B3" s="90"/>
      <c r="C3" s="90"/>
      <c r="D3" s="90"/>
      <c r="E3" s="90"/>
      <c r="F3" s="90"/>
      <c r="G3" s="90"/>
      <c r="H3" s="90"/>
      <c r="I3" s="90"/>
      <c r="J3" s="90"/>
      <c r="K3" s="90"/>
    </row>
    <row r="4" customFormat="false" ht="15" hidden="false" customHeight="true" outlineLevel="0" collapsed="false">
      <c r="B4" s="4" t="s">
        <v>1</v>
      </c>
      <c r="C4" s="5" t="s">
        <v>2</v>
      </c>
      <c r="D4" s="91" t="s">
        <v>3</v>
      </c>
      <c r="E4" s="8" t="n">
        <v>45935</v>
      </c>
      <c r="F4" s="8" t="n">
        <v>45936</v>
      </c>
      <c r="G4" s="8" t="n">
        <v>45937</v>
      </c>
      <c r="H4" s="8" t="n">
        <v>45938</v>
      </c>
      <c r="I4" s="8" t="n">
        <v>45939</v>
      </c>
      <c r="J4" s="8" t="n">
        <v>45940</v>
      </c>
      <c r="K4" s="95" t="n">
        <v>45941</v>
      </c>
    </row>
    <row r="5" customFormat="false" ht="15" hidden="false" customHeight="false" outlineLevel="0" collapsed="false">
      <c r="B5" s="4"/>
      <c r="C5" s="5"/>
      <c r="D5" s="5"/>
      <c r="E5" s="10" t="s">
        <v>4</v>
      </c>
      <c r="F5" s="10" t="s">
        <v>5</v>
      </c>
      <c r="G5" s="10" t="s">
        <v>6</v>
      </c>
      <c r="H5" s="10" t="s">
        <v>7</v>
      </c>
      <c r="I5" s="10" t="s">
        <v>8</v>
      </c>
      <c r="J5" s="10" t="s">
        <v>9</v>
      </c>
      <c r="K5" s="11" t="s">
        <v>10</v>
      </c>
    </row>
    <row r="6" customFormat="false" ht="15" hidden="false" customHeight="false" outlineLevel="0" collapsed="false">
      <c r="B6" s="96" t="n">
        <v>6</v>
      </c>
      <c r="C6" s="97" t="s">
        <v>40</v>
      </c>
      <c r="D6" s="15" t="n">
        <v>8</v>
      </c>
      <c r="E6" s="21"/>
      <c r="F6" s="21"/>
      <c r="G6" s="21"/>
      <c r="H6" s="21" t="n">
        <v>3</v>
      </c>
      <c r="I6" s="21" t="n">
        <v>3</v>
      </c>
      <c r="J6" s="21" t="n">
        <v>2</v>
      </c>
      <c r="K6" s="98"/>
    </row>
    <row r="7" customFormat="false" ht="15" hidden="false" customHeight="false" outlineLevel="0" collapsed="false">
      <c r="B7" s="96" t="n">
        <v>7</v>
      </c>
      <c r="C7" s="97" t="s">
        <v>41</v>
      </c>
      <c r="D7" s="15" t="n">
        <v>8</v>
      </c>
      <c r="E7" s="21"/>
      <c r="F7" s="21"/>
      <c r="G7" s="21"/>
      <c r="H7" s="21"/>
      <c r="I7" s="21"/>
      <c r="J7" s="21"/>
      <c r="K7" s="98"/>
    </row>
    <row r="8" customFormat="false" ht="15" hidden="false" customHeight="false" outlineLevel="0" collapsed="false">
      <c r="B8" s="96" t="n">
        <v>8</v>
      </c>
      <c r="C8" s="99" t="s">
        <v>42</v>
      </c>
      <c r="D8" s="15" t="n">
        <v>8</v>
      </c>
      <c r="E8" s="21"/>
      <c r="F8" s="21"/>
      <c r="G8" s="21" t="n">
        <v>1</v>
      </c>
      <c r="H8" s="21" t="n">
        <v>2</v>
      </c>
      <c r="I8" s="21" t="n">
        <v>3</v>
      </c>
      <c r="J8" s="21" t="n">
        <v>2</v>
      </c>
      <c r="K8" s="98"/>
    </row>
    <row r="9" customFormat="false" ht="15" hidden="false" customHeight="false" outlineLevel="0" collapsed="false">
      <c r="B9" s="96" t="n">
        <v>9</v>
      </c>
      <c r="C9" s="99" t="s">
        <v>43</v>
      </c>
      <c r="D9" s="15" t="n">
        <v>8</v>
      </c>
      <c r="E9" s="21"/>
      <c r="F9" s="21"/>
      <c r="G9" s="21"/>
      <c r="H9" s="21"/>
      <c r="I9" s="21"/>
      <c r="J9" s="21"/>
      <c r="K9" s="98"/>
    </row>
    <row r="10" customFormat="false" ht="15" hidden="false" customHeight="false" outlineLevel="0" collapsed="false">
      <c r="B10" s="96" t="n">
        <v>10</v>
      </c>
      <c r="C10" s="99" t="s">
        <v>161</v>
      </c>
      <c r="D10" s="15" t="n">
        <v>2</v>
      </c>
      <c r="E10" s="21"/>
      <c r="F10" s="21"/>
      <c r="G10" s="21" t="n">
        <v>2</v>
      </c>
      <c r="H10" s="21"/>
      <c r="I10" s="21"/>
      <c r="J10" s="21"/>
      <c r="K10" s="98"/>
    </row>
    <row r="11" customFormat="false" ht="15" hidden="false" customHeight="false" outlineLevel="0" collapsed="false">
      <c r="B11" s="96" t="n">
        <v>11</v>
      </c>
      <c r="C11" s="99" t="s">
        <v>162</v>
      </c>
      <c r="D11" s="15" t="n">
        <v>2</v>
      </c>
      <c r="E11" s="21"/>
      <c r="F11" s="21" t="n">
        <v>2</v>
      </c>
      <c r="G11" s="21"/>
      <c r="H11" s="21"/>
      <c r="I11" s="21"/>
      <c r="J11" s="21"/>
      <c r="K11" s="98"/>
    </row>
    <row r="12" customFormat="false" ht="15" hidden="false" customHeight="false" outlineLevel="0" collapsed="false">
      <c r="B12" s="96" t="n">
        <v>12</v>
      </c>
      <c r="C12" s="99" t="s">
        <v>163</v>
      </c>
      <c r="D12" s="15" t="n">
        <v>2</v>
      </c>
      <c r="E12" s="21"/>
      <c r="F12" s="21"/>
      <c r="G12" s="21" t="n">
        <v>2</v>
      </c>
      <c r="H12" s="21"/>
      <c r="I12" s="21"/>
      <c r="J12" s="21"/>
      <c r="K12" s="98"/>
    </row>
    <row r="13" customFormat="false" ht="15" hidden="false" customHeight="false" outlineLevel="0" collapsed="false">
      <c r="B13" s="96" t="n">
        <v>13</v>
      </c>
      <c r="C13" s="99" t="s">
        <v>164</v>
      </c>
      <c r="D13" s="15" t="n">
        <v>2</v>
      </c>
      <c r="E13" s="21" t="n">
        <v>2</v>
      </c>
      <c r="F13" s="21"/>
      <c r="G13" s="21"/>
      <c r="H13" s="21"/>
      <c r="I13" s="21"/>
      <c r="J13" s="21"/>
      <c r="K13" s="98"/>
    </row>
    <row r="14" customFormat="false" ht="15" hidden="false" customHeight="false" outlineLevel="0" collapsed="false">
      <c r="B14" s="96" t="n">
        <v>14</v>
      </c>
      <c r="C14" s="99" t="s">
        <v>165</v>
      </c>
      <c r="D14" s="15" t="n">
        <v>2</v>
      </c>
      <c r="E14" s="21"/>
      <c r="F14" s="21" t="n">
        <v>2</v>
      </c>
      <c r="G14" s="21"/>
      <c r="H14" s="21"/>
      <c r="I14" s="21"/>
      <c r="J14" s="21"/>
      <c r="K14" s="98"/>
    </row>
    <row r="15" customFormat="false" ht="15" hidden="false" customHeight="false" outlineLevel="0" collapsed="false">
      <c r="B15" s="96" t="n">
        <v>15</v>
      </c>
      <c r="C15" s="99" t="s">
        <v>166</v>
      </c>
      <c r="D15" s="15" t="n">
        <v>2</v>
      </c>
      <c r="E15" s="21"/>
      <c r="F15" s="21"/>
      <c r="G15" s="21" t="n">
        <v>2</v>
      </c>
      <c r="H15" s="21"/>
      <c r="I15" s="21"/>
      <c r="J15" s="21"/>
      <c r="K15" s="98"/>
    </row>
    <row r="16" customFormat="false" ht="15" hidden="false" customHeight="false" outlineLevel="0" collapsed="false">
      <c r="B16" s="96" t="n">
        <v>16</v>
      </c>
      <c r="C16" s="99" t="s">
        <v>167</v>
      </c>
      <c r="D16" s="15" t="n">
        <v>2</v>
      </c>
      <c r="E16" s="21" t="n">
        <v>2</v>
      </c>
      <c r="F16" s="21"/>
      <c r="G16" s="21"/>
      <c r="H16" s="21"/>
      <c r="I16" s="21"/>
      <c r="J16" s="21"/>
      <c r="K16" s="98"/>
    </row>
    <row r="17" customFormat="false" ht="15" hidden="false" customHeight="false" outlineLevel="0" collapsed="false">
      <c r="B17" s="96" t="n">
        <v>17</v>
      </c>
      <c r="C17" s="99" t="s">
        <v>168</v>
      </c>
      <c r="D17" s="15" t="n">
        <v>2</v>
      </c>
      <c r="E17" s="21"/>
      <c r="F17" s="21" t="n">
        <v>2</v>
      </c>
      <c r="G17" s="21"/>
      <c r="H17" s="21"/>
      <c r="I17" s="21"/>
      <c r="J17" s="21"/>
      <c r="K17" s="98"/>
    </row>
    <row r="18" customFormat="false" ht="15" hidden="false" customHeight="false" outlineLevel="0" collapsed="false">
      <c r="B18" s="96" t="n">
        <v>18</v>
      </c>
      <c r="C18" s="99" t="s">
        <v>169</v>
      </c>
      <c r="D18" s="15" t="n">
        <v>2</v>
      </c>
      <c r="E18" s="21"/>
      <c r="F18" s="21" t="n">
        <v>2</v>
      </c>
      <c r="G18" s="21"/>
      <c r="H18" s="21"/>
      <c r="I18" s="21"/>
      <c r="J18" s="21"/>
      <c r="K18" s="98"/>
    </row>
    <row r="19" customFormat="false" ht="15" hidden="false" customHeight="false" outlineLevel="0" collapsed="false">
      <c r="B19" s="96" t="n">
        <v>19</v>
      </c>
      <c r="C19" s="99" t="s">
        <v>170</v>
      </c>
      <c r="D19" s="15" t="n">
        <v>2</v>
      </c>
      <c r="E19" s="21" t="n">
        <v>2</v>
      </c>
      <c r="F19" s="21"/>
      <c r="G19" s="21"/>
      <c r="H19" s="21"/>
      <c r="I19" s="21"/>
      <c r="J19" s="21"/>
      <c r="K19" s="98"/>
    </row>
    <row r="20" customFormat="false" ht="15" hidden="false" customHeight="true" outlineLevel="0" collapsed="false">
      <c r="B20" s="33" t="s">
        <v>68</v>
      </c>
      <c r="C20" s="33"/>
      <c r="D20" s="37" t="n">
        <v>0</v>
      </c>
      <c r="E20" s="92" t="n">
        <f aca="false">SUM(E6:E19)</f>
        <v>6</v>
      </c>
      <c r="F20" s="92" t="n">
        <f aca="false">SUM(F6:F19)</f>
        <v>8</v>
      </c>
      <c r="G20" s="92" t="n">
        <f aca="false">SUM(G6:G19)</f>
        <v>7</v>
      </c>
      <c r="H20" s="92" t="n">
        <f aca="false">SUM(H6:H19)</f>
        <v>5</v>
      </c>
      <c r="I20" s="92" t="n">
        <f aca="false">SUM(I6:I19)</f>
        <v>6</v>
      </c>
      <c r="J20" s="92" t="n">
        <f aca="false">SUM(J6:J19)</f>
        <v>4</v>
      </c>
      <c r="K20" s="100" t="n">
        <f aca="false">SUM(K6:K19)</f>
        <v>0</v>
      </c>
      <c r="L20" s="12"/>
    </row>
    <row r="21" customFormat="false" ht="15.75" hidden="false" customHeight="true" outlineLevel="0" collapsed="false">
      <c r="B21" s="38" t="s">
        <v>69</v>
      </c>
      <c r="C21" s="38"/>
      <c r="D21" s="39" t="n">
        <f aca="false">SUM(D6:D20)</f>
        <v>52</v>
      </c>
      <c r="E21" s="40" t="n">
        <f aca="false">D21-SUM(E6:E19)</f>
        <v>46</v>
      </c>
      <c r="F21" s="40" t="n">
        <f aca="false">E21-SUM(F6:F19)</f>
        <v>38</v>
      </c>
      <c r="G21" s="40" t="n">
        <f aca="false">F21-SUM(G6:G19)</f>
        <v>31</v>
      </c>
      <c r="H21" s="40" t="n">
        <f aca="false">G21-SUM(H6:H19)</f>
        <v>26</v>
      </c>
      <c r="I21" s="40" t="n">
        <f aca="false">H21-SUM(I6:I19)</f>
        <v>20</v>
      </c>
      <c r="J21" s="40" t="n">
        <f aca="false">I21-SUM(J6:J19)</f>
        <v>16</v>
      </c>
      <c r="K21" s="101" t="n">
        <f aca="false">J21-SUM(K6:K19)</f>
        <v>16</v>
      </c>
    </row>
    <row r="22" customFormat="false" ht="15.75" hidden="false" customHeight="true" outlineLevel="0" collapsed="false">
      <c r="B22" s="43" t="s">
        <v>70</v>
      </c>
      <c r="C22" s="43"/>
      <c r="D22" s="44" t="n">
        <f aca="false">D21</f>
        <v>52</v>
      </c>
      <c r="E22" s="45" t="n">
        <f aca="false">$D$22-($D$22/7*1)</f>
        <v>44.5714285714286</v>
      </c>
      <c r="F22" s="46" t="n">
        <f aca="false">$D$22-($D$22/7*2)</f>
        <v>37.1428571428571</v>
      </c>
      <c r="G22" s="46" t="n">
        <f aca="false">$D$22-($D$22/7*3)</f>
        <v>29.7142857142857</v>
      </c>
      <c r="H22" s="46" t="n">
        <f aca="false">$D$22-($D$22/7*4)</f>
        <v>22.2857142857143</v>
      </c>
      <c r="I22" s="46" t="n">
        <f aca="false">$D$22-($D$22/7*5)</f>
        <v>14.8571428571429</v>
      </c>
      <c r="J22" s="46" t="n">
        <f aca="false">$D$22-($D$22/7*6)</f>
        <v>7.42857142857143</v>
      </c>
      <c r="K22" s="47" t="n">
        <f aca="false">$D$22-($D$22/7*7)</f>
        <v>0</v>
      </c>
    </row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8">
    <mergeCell ref="B2:K2"/>
    <mergeCell ref="B3:K3"/>
    <mergeCell ref="B4:B5"/>
    <mergeCell ref="C4:C5"/>
    <mergeCell ref="D4:D5"/>
    <mergeCell ref="B20:C20"/>
    <mergeCell ref="B21:C21"/>
    <mergeCell ref="B22:C2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000"/>
  <sheetViews>
    <sheetView showFormulas="false" showGridLines="true" showRowColHeaders="true" showZeros="true" rightToLeft="false" tabSelected="false" showOutlineSymbols="true" defaultGridColor="true" view="normal" topLeftCell="C1" colorId="64" zoomScale="80" zoomScaleNormal="80" zoomScalePageLayoutView="100" workbookViewId="0">
      <selection pane="topLeft" activeCell="C1" activeCellId="0" sqref="C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7.11"/>
    <col collapsed="false" customWidth="true" hidden="false" outlineLevel="0" max="3" min="3" style="0" width="73.11"/>
    <col collapsed="false" customWidth="true" hidden="false" outlineLevel="0" max="4" min="4" style="0" width="15.56"/>
    <col collapsed="false" customWidth="true" hidden="false" outlineLevel="0" max="11" min="5" style="0" width="10"/>
    <col collapsed="false" customWidth="true" hidden="false" outlineLevel="0" max="26" min="12" style="0" width="9"/>
  </cols>
  <sheetData>
    <row r="2" customFormat="false" ht="24.45" hidden="false" customHeight="false" outlineLevel="0" collapsed="false">
      <c r="B2" s="89" t="s">
        <v>171</v>
      </c>
      <c r="C2" s="89"/>
      <c r="D2" s="89"/>
      <c r="E2" s="89"/>
      <c r="F2" s="89"/>
      <c r="G2" s="89"/>
      <c r="H2" s="89"/>
      <c r="I2" s="89"/>
      <c r="J2" s="89"/>
      <c r="K2" s="89"/>
    </row>
    <row r="3" customFormat="false" ht="15" hidden="false" customHeight="false" outlineLevel="0" collapsed="false">
      <c r="B3" s="90"/>
      <c r="C3" s="90"/>
      <c r="D3" s="90"/>
      <c r="E3" s="90"/>
      <c r="F3" s="90"/>
      <c r="G3" s="90"/>
      <c r="H3" s="90"/>
      <c r="I3" s="90"/>
      <c r="J3" s="90"/>
      <c r="K3" s="90"/>
    </row>
    <row r="4" customFormat="false" ht="13.5" hidden="false" customHeight="true" outlineLevel="0" collapsed="false">
      <c r="B4" s="4" t="s">
        <v>1</v>
      </c>
      <c r="C4" s="5" t="s">
        <v>2</v>
      </c>
      <c r="D4" s="91" t="s">
        <v>3</v>
      </c>
      <c r="E4" s="8" t="n">
        <v>45942</v>
      </c>
      <c r="F4" s="8" t="n">
        <v>45943</v>
      </c>
      <c r="G4" s="8" t="n">
        <v>45944</v>
      </c>
      <c r="H4" s="8" t="n">
        <v>45945</v>
      </c>
      <c r="I4" s="8" t="n">
        <v>45946</v>
      </c>
      <c r="J4" s="8" t="n">
        <v>45947</v>
      </c>
      <c r="K4" s="8" t="n">
        <v>45948</v>
      </c>
    </row>
    <row r="5" customFormat="false" ht="15" hidden="false" customHeight="false" outlineLevel="0" collapsed="false">
      <c r="B5" s="4"/>
      <c r="C5" s="5"/>
      <c r="D5" s="5"/>
      <c r="E5" s="10" t="s">
        <v>4</v>
      </c>
      <c r="F5" s="10" t="s">
        <v>5</v>
      </c>
      <c r="G5" s="10" t="s">
        <v>6</v>
      </c>
      <c r="H5" s="10" t="s">
        <v>7</v>
      </c>
      <c r="I5" s="10" t="s">
        <v>8</v>
      </c>
      <c r="J5" s="10" t="s">
        <v>9</v>
      </c>
      <c r="K5" s="10" t="s">
        <v>10</v>
      </c>
    </row>
    <row r="6" customFormat="false" ht="15" hidden="false" customHeight="false" outlineLevel="0" collapsed="false">
      <c r="B6" s="96" t="n">
        <v>20</v>
      </c>
      <c r="C6" s="97" t="s">
        <v>54</v>
      </c>
      <c r="D6" s="15" t="n">
        <v>6</v>
      </c>
      <c r="E6" s="21"/>
      <c r="F6" s="21" t="n">
        <v>2</v>
      </c>
      <c r="G6" s="21" t="n">
        <v>1</v>
      </c>
      <c r="H6" s="21" t="n">
        <v>2</v>
      </c>
      <c r="I6" s="21" t="n">
        <v>1</v>
      </c>
      <c r="J6" s="21"/>
      <c r="K6" s="98"/>
    </row>
    <row r="7" customFormat="false" ht="15" hidden="false" customHeight="false" outlineLevel="0" collapsed="false">
      <c r="B7" s="96" t="n">
        <v>21</v>
      </c>
      <c r="C7" s="97" t="s">
        <v>55</v>
      </c>
      <c r="D7" s="15" t="n">
        <v>6</v>
      </c>
      <c r="E7" s="21"/>
      <c r="F7" s="21"/>
      <c r="G7" s="21"/>
      <c r="H7" s="21"/>
      <c r="I7" s="21"/>
      <c r="J7" s="21" t="n">
        <v>1</v>
      </c>
      <c r="K7" s="98" t="n">
        <v>2</v>
      </c>
    </row>
    <row r="8" customFormat="false" ht="15" hidden="false" customHeight="false" outlineLevel="0" collapsed="false">
      <c r="B8" s="96" t="n">
        <v>22</v>
      </c>
      <c r="C8" s="99" t="s">
        <v>56</v>
      </c>
      <c r="D8" s="15" t="n">
        <v>6</v>
      </c>
      <c r="E8" s="21"/>
      <c r="F8" s="21"/>
      <c r="G8" s="21" t="n">
        <v>1</v>
      </c>
      <c r="H8" s="21" t="n">
        <v>2</v>
      </c>
      <c r="I8" s="21" t="n">
        <v>1</v>
      </c>
      <c r="J8" s="21"/>
      <c r="K8" s="98" t="n">
        <v>2</v>
      </c>
    </row>
    <row r="9" customFormat="false" ht="15" hidden="false" customHeight="false" outlineLevel="0" collapsed="false">
      <c r="B9" s="96" t="n">
        <v>23</v>
      </c>
      <c r="C9" s="99" t="s">
        <v>57</v>
      </c>
      <c r="D9" s="15" t="n">
        <v>6</v>
      </c>
      <c r="E9" s="21"/>
      <c r="F9" s="21"/>
      <c r="G9" s="21"/>
      <c r="H9" s="21"/>
      <c r="I9" s="21"/>
      <c r="J9" s="21" t="n">
        <v>1</v>
      </c>
      <c r="K9" s="98" t="n">
        <v>1</v>
      </c>
    </row>
    <row r="10" customFormat="false" ht="15" hidden="false" customHeight="false" outlineLevel="0" collapsed="false">
      <c r="B10" s="96" t="n">
        <v>24</v>
      </c>
      <c r="C10" s="99" t="s">
        <v>58</v>
      </c>
      <c r="D10" s="15" t="n">
        <v>6</v>
      </c>
      <c r="E10" s="21"/>
      <c r="F10" s="21"/>
      <c r="G10" s="21"/>
      <c r="H10" s="21"/>
      <c r="I10" s="21" t="n">
        <v>1</v>
      </c>
      <c r="J10" s="21" t="n">
        <v>2</v>
      </c>
      <c r="K10" s="98"/>
    </row>
    <row r="11" customFormat="false" ht="15" hidden="false" customHeight="false" outlineLevel="0" collapsed="false">
      <c r="B11" s="96" t="n">
        <v>25</v>
      </c>
      <c r="C11" s="20" t="s">
        <v>59</v>
      </c>
      <c r="D11" s="15" t="n">
        <v>2</v>
      </c>
      <c r="E11" s="21"/>
      <c r="F11" s="21"/>
      <c r="G11" s="21"/>
      <c r="H11" s="21"/>
      <c r="I11" s="21"/>
      <c r="J11" s="21"/>
      <c r="K11" s="98" t="n">
        <v>2</v>
      </c>
    </row>
    <row r="12" customFormat="false" ht="15" hidden="false" customHeight="false" outlineLevel="0" collapsed="false">
      <c r="B12" s="96" t="n">
        <v>7</v>
      </c>
      <c r="C12" s="99" t="s">
        <v>41</v>
      </c>
      <c r="D12" s="15" t="n">
        <v>8</v>
      </c>
      <c r="E12" s="21"/>
      <c r="F12" s="21"/>
      <c r="G12" s="21"/>
      <c r="H12" s="21" t="n">
        <v>1</v>
      </c>
      <c r="I12" s="21"/>
      <c r="J12" s="21" t="n">
        <v>3</v>
      </c>
      <c r="K12" s="98" t="n">
        <v>4</v>
      </c>
    </row>
    <row r="13" customFormat="false" ht="15" hidden="false" customHeight="false" outlineLevel="0" collapsed="false">
      <c r="B13" s="96" t="n">
        <v>9</v>
      </c>
      <c r="C13" s="99" t="s">
        <v>43</v>
      </c>
      <c r="D13" s="15" t="n">
        <v>8</v>
      </c>
      <c r="E13" s="21"/>
      <c r="F13" s="21"/>
      <c r="G13" s="21"/>
      <c r="H13" s="21"/>
      <c r="I13" s="21" t="n">
        <v>3</v>
      </c>
      <c r="J13" s="21" t="n">
        <v>3</v>
      </c>
      <c r="K13" s="98" t="n">
        <v>2</v>
      </c>
    </row>
    <row r="14" customFormat="false" ht="15" hidden="false" customHeight="true" outlineLevel="0" collapsed="false">
      <c r="B14" s="33" t="s">
        <v>68</v>
      </c>
      <c r="C14" s="33"/>
      <c r="D14" s="37" t="n">
        <v>0</v>
      </c>
      <c r="E14" s="100" t="n">
        <f aca="false">SUM(E6:E13)</f>
        <v>0</v>
      </c>
      <c r="F14" s="102" t="n">
        <f aca="false">SUM(F6:F13)</f>
        <v>2</v>
      </c>
      <c r="G14" s="102" t="n">
        <f aca="false">SUM(G6:G13)</f>
        <v>2</v>
      </c>
      <c r="H14" s="102" t="n">
        <f aca="false">SUM(H6:H13)</f>
        <v>5</v>
      </c>
      <c r="I14" s="102" t="n">
        <f aca="false">SUM(I6:I13)</f>
        <v>6</v>
      </c>
      <c r="J14" s="102" t="n">
        <f aca="false">SUM(J6:J13)</f>
        <v>10</v>
      </c>
      <c r="K14" s="102" t="n">
        <f aca="false">SUM(K6:K13)</f>
        <v>13</v>
      </c>
      <c r="L14" s="12"/>
    </row>
    <row r="15" customFormat="false" ht="15" hidden="false" customHeight="false" outlineLevel="0" collapsed="false">
      <c r="B15" s="38" t="s">
        <v>69</v>
      </c>
      <c r="C15" s="38"/>
      <c r="D15" s="39" t="n">
        <f aca="false">SUM(D6:D13)</f>
        <v>48</v>
      </c>
      <c r="E15" s="103" t="n">
        <f aca="false">D15-SUM(E6:E13)</f>
        <v>48</v>
      </c>
      <c r="F15" s="103" t="n">
        <f aca="false">E15-SUM(F6:F13)</f>
        <v>46</v>
      </c>
      <c r="G15" s="103" t="n">
        <f aca="false">F15-SUM(G6:G13)</f>
        <v>44</v>
      </c>
      <c r="H15" s="103" t="n">
        <f aca="false">G15-SUM(H6:H13)</f>
        <v>39</v>
      </c>
      <c r="I15" s="103" t="n">
        <f aca="false">H15-SUM(I6:I13)</f>
        <v>33</v>
      </c>
      <c r="J15" s="103" t="n">
        <f aca="false">I15-SUM(J6:J13)</f>
        <v>23</v>
      </c>
      <c r="K15" s="103" t="n">
        <f aca="false">J15-SUM(K6:K13)</f>
        <v>10</v>
      </c>
    </row>
    <row r="16" customFormat="false" ht="15" hidden="false" customHeight="false" outlineLevel="0" collapsed="false">
      <c r="B16" s="43" t="s">
        <v>70</v>
      </c>
      <c r="C16" s="43"/>
      <c r="D16" s="44" t="n">
        <f aca="false">D15</f>
        <v>48</v>
      </c>
      <c r="E16" s="104" t="n">
        <f aca="false">$D$16-($D$16/7*1)</f>
        <v>41.1428571428571</v>
      </c>
      <c r="F16" s="104" t="n">
        <f aca="false">$D$16-($D$16/7*2)</f>
        <v>34.2857142857143</v>
      </c>
      <c r="G16" s="104" t="n">
        <f aca="false">$D$16-($D$16/7*3)</f>
        <v>27.4285714285714</v>
      </c>
      <c r="H16" s="104" t="n">
        <f aca="false">$D$16-($D$16/7*4)</f>
        <v>20.5714285714286</v>
      </c>
      <c r="I16" s="104" t="n">
        <f aca="false">$D$16-($D$16/7*5)</f>
        <v>13.7142857142857</v>
      </c>
      <c r="J16" s="104" t="n">
        <f aca="false">$D$16-($D$16/7*6)</f>
        <v>6.85714285714286</v>
      </c>
      <c r="K16" s="104" t="n">
        <f aca="false">$D$16-($D$16/7*7)</f>
        <v>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8">
    <mergeCell ref="B2:K2"/>
    <mergeCell ref="B3:K3"/>
    <mergeCell ref="B4:B5"/>
    <mergeCell ref="C4:C5"/>
    <mergeCell ref="D4:D5"/>
    <mergeCell ref="B14:C14"/>
    <mergeCell ref="B15:C15"/>
    <mergeCell ref="B16:C1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100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7.11"/>
    <col collapsed="false" customWidth="true" hidden="false" outlineLevel="0" max="3" min="3" style="0" width="73.11"/>
    <col collapsed="false" customWidth="true" hidden="false" outlineLevel="0" max="4" min="4" style="0" width="15.56"/>
    <col collapsed="false" customWidth="true" hidden="false" outlineLevel="0" max="11" min="5" style="0" width="10"/>
    <col collapsed="false" customWidth="true" hidden="false" outlineLevel="0" max="26" min="12" style="0" width="9"/>
  </cols>
  <sheetData>
    <row r="1" customFormat="false" ht="13.5" hidden="false" customHeight="true" outlineLevel="0" collapsed="false"/>
    <row r="2" customFormat="false" ht="13.5" hidden="false" customHeight="true" outlineLevel="0" collapsed="false">
      <c r="B2" s="89" t="s">
        <v>172</v>
      </c>
      <c r="C2" s="89"/>
      <c r="D2" s="89"/>
      <c r="E2" s="89"/>
      <c r="F2" s="89"/>
      <c r="G2" s="89"/>
      <c r="H2" s="89"/>
      <c r="I2" s="89"/>
      <c r="J2" s="89"/>
      <c r="K2" s="89"/>
    </row>
    <row r="3" customFormat="false" ht="13.5" hidden="false" customHeight="true" outlineLevel="0" collapsed="false">
      <c r="B3" s="90"/>
      <c r="C3" s="90"/>
      <c r="D3" s="90"/>
      <c r="E3" s="90"/>
      <c r="F3" s="90"/>
      <c r="G3" s="90"/>
      <c r="H3" s="90"/>
      <c r="I3" s="90"/>
      <c r="J3" s="90"/>
      <c r="K3" s="90"/>
    </row>
    <row r="4" customFormat="false" ht="13.5" hidden="false" customHeight="true" outlineLevel="0" collapsed="false">
      <c r="B4" s="4" t="s">
        <v>1</v>
      </c>
      <c r="C4" s="5" t="s">
        <v>2</v>
      </c>
      <c r="D4" s="91" t="s">
        <v>3</v>
      </c>
      <c r="E4" s="8" t="n">
        <v>45942</v>
      </c>
      <c r="F4" s="8" t="n">
        <v>45943</v>
      </c>
      <c r="G4" s="8" t="n">
        <v>45944</v>
      </c>
      <c r="H4" s="8" t="n">
        <v>45945</v>
      </c>
      <c r="I4" s="8" t="n">
        <v>45946</v>
      </c>
      <c r="J4" s="8" t="n">
        <v>45947</v>
      </c>
      <c r="K4" s="8" t="n">
        <v>45948</v>
      </c>
    </row>
    <row r="5" customFormat="false" ht="13.5" hidden="false" customHeight="true" outlineLevel="0" collapsed="false">
      <c r="B5" s="4"/>
      <c r="C5" s="5"/>
      <c r="D5" s="5"/>
      <c r="E5" s="10" t="s">
        <v>4</v>
      </c>
      <c r="F5" s="10" t="s">
        <v>5</v>
      </c>
      <c r="G5" s="10" t="s">
        <v>6</v>
      </c>
      <c r="H5" s="10" t="s">
        <v>7</v>
      </c>
      <c r="I5" s="10" t="s">
        <v>8</v>
      </c>
      <c r="J5" s="10" t="s">
        <v>9</v>
      </c>
      <c r="K5" s="10" t="s">
        <v>10</v>
      </c>
    </row>
    <row r="6" customFormat="false" ht="13.5" hidden="false" customHeight="true" outlineLevel="0" collapsed="false">
      <c r="B6" s="96" t="n">
        <v>21</v>
      </c>
      <c r="C6" s="97" t="s">
        <v>55</v>
      </c>
      <c r="D6" s="15" t="n">
        <v>3</v>
      </c>
      <c r="E6" s="21"/>
      <c r="F6" s="21"/>
      <c r="G6" s="21"/>
      <c r="H6" s="21"/>
      <c r="I6" s="21"/>
      <c r="J6" s="21"/>
      <c r="K6" s="98"/>
    </row>
    <row r="7" customFormat="false" ht="13.5" hidden="false" customHeight="true" outlineLevel="0" collapsed="false">
      <c r="B7" s="96" t="n">
        <v>23</v>
      </c>
      <c r="C7" s="97" t="s">
        <v>57</v>
      </c>
      <c r="D7" s="15" t="n">
        <v>4</v>
      </c>
      <c r="E7" s="21"/>
      <c r="F7" s="21"/>
      <c r="G7" s="21"/>
      <c r="H7" s="21"/>
      <c r="I7" s="21"/>
      <c r="J7" s="21"/>
      <c r="K7" s="98"/>
    </row>
    <row r="8" customFormat="false" ht="13.5" hidden="false" customHeight="true" outlineLevel="0" collapsed="false">
      <c r="B8" s="96" t="n">
        <v>24</v>
      </c>
      <c r="C8" s="99" t="s">
        <v>58</v>
      </c>
      <c r="D8" s="15" t="n">
        <v>3</v>
      </c>
      <c r="E8" s="21"/>
      <c r="F8" s="21"/>
      <c r="G8" s="21"/>
      <c r="H8" s="21"/>
      <c r="I8" s="21"/>
      <c r="J8" s="21"/>
      <c r="K8" s="98"/>
    </row>
    <row r="9" customFormat="false" ht="13.5" hidden="false" customHeight="true" outlineLevel="0" collapsed="false">
      <c r="B9" s="96" t="n">
        <v>26</v>
      </c>
      <c r="C9" s="99" t="s">
        <v>60</v>
      </c>
      <c r="D9" s="15" t="n">
        <v>6</v>
      </c>
      <c r="E9" s="21"/>
      <c r="F9" s="21"/>
      <c r="G9" s="21"/>
      <c r="H9" s="21"/>
      <c r="I9" s="21"/>
      <c r="J9" s="21"/>
      <c r="K9" s="98"/>
    </row>
    <row r="10" customFormat="false" ht="13.5" hidden="false" customHeight="true" outlineLevel="0" collapsed="false">
      <c r="B10" s="96" t="n">
        <v>27</v>
      </c>
      <c r="C10" s="99" t="s">
        <v>61</v>
      </c>
      <c r="D10" s="15" t="n">
        <v>6</v>
      </c>
      <c r="E10" s="21"/>
      <c r="F10" s="21"/>
      <c r="G10" s="21"/>
      <c r="H10" s="21"/>
      <c r="I10" s="21"/>
      <c r="J10" s="21"/>
      <c r="K10" s="98"/>
    </row>
    <row r="11" customFormat="false" ht="13.5" hidden="false" customHeight="true" outlineLevel="0" collapsed="false">
      <c r="B11" s="96" t="n">
        <v>28</v>
      </c>
      <c r="C11" s="20" t="s">
        <v>62</v>
      </c>
      <c r="D11" s="15" t="n">
        <v>8</v>
      </c>
      <c r="E11" s="21"/>
      <c r="F11" s="21"/>
      <c r="G11" s="21"/>
      <c r="H11" s="21"/>
      <c r="I11" s="21"/>
      <c r="J11" s="21"/>
      <c r="K11" s="98"/>
    </row>
    <row r="12" customFormat="false" ht="13.5" hidden="false" customHeight="true" outlineLevel="0" collapsed="false">
      <c r="B12" s="96" t="n">
        <v>29</v>
      </c>
      <c r="C12" s="99" t="s">
        <v>63</v>
      </c>
      <c r="D12" s="15" t="n">
        <v>6</v>
      </c>
      <c r="E12" s="21"/>
      <c r="F12" s="21"/>
      <c r="G12" s="21"/>
      <c r="H12" s="21"/>
      <c r="I12" s="21"/>
      <c r="J12" s="21"/>
      <c r="K12" s="98"/>
    </row>
    <row r="13" customFormat="false" ht="13.5" hidden="false" customHeight="true" outlineLevel="0" collapsed="false">
      <c r="B13" s="96" t="n">
        <v>30</v>
      </c>
      <c r="C13" s="99" t="s">
        <v>64</v>
      </c>
      <c r="D13" s="15" t="n">
        <v>6</v>
      </c>
      <c r="E13" s="21"/>
      <c r="F13" s="21"/>
      <c r="G13" s="21"/>
      <c r="H13" s="21"/>
      <c r="I13" s="21"/>
      <c r="J13" s="21"/>
      <c r="K13" s="98"/>
    </row>
    <row r="14" customFormat="false" ht="13.5" hidden="false" customHeight="true" outlineLevel="0" collapsed="false">
      <c r="B14" s="96" t="n">
        <v>31</v>
      </c>
      <c r="C14" s="99" t="s">
        <v>65</v>
      </c>
      <c r="D14" s="15" t="n">
        <v>8</v>
      </c>
      <c r="E14" s="21"/>
      <c r="F14" s="21"/>
      <c r="G14" s="21"/>
      <c r="H14" s="21"/>
      <c r="I14" s="21"/>
      <c r="J14" s="21"/>
      <c r="K14" s="98"/>
    </row>
    <row r="15" customFormat="false" ht="13.5" hidden="false" customHeight="true" outlineLevel="0" collapsed="false">
      <c r="B15" s="96" t="n">
        <v>32</v>
      </c>
      <c r="C15" s="99" t="s">
        <v>66</v>
      </c>
      <c r="D15" s="15" t="n">
        <v>1</v>
      </c>
      <c r="E15" s="21"/>
      <c r="F15" s="21"/>
      <c r="G15" s="21"/>
      <c r="H15" s="21"/>
      <c r="I15" s="21"/>
      <c r="J15" s="21"/>
      <c r="K15" s="98"/>
    </row>
    <row r="16" customFormat="false" ht="15" hidden="false" customHeight="true" outlineLevel="0" collapsed="false">
      <c r="B16" s="33" t="s">
        <v>68</v>
      </c>
      <c r="C16" s="33"/>
      <c r="D16" s="37" t="n">
        <v>0</v>
      </c>
      <c r="E16" s="100" t="n">
        <f aca="false">SUM(E6:E15)</f>
        <v>0</v>
      </c>
      <c r="F16" s="102" t="n">
        <f aca="false">SUM(F6:F15)</f>
        <v>0</v>
      </c>
      <c r="G16" s="102" t="n">
        <f aca="false">SUM(G6:G15)</f>
        <v>0</v>
      </c>
      <c r="H16" s="102" t="n">
        <f aca="false">SUM(H6:H15)</f>
        <v>0</v>
      </c>
      <c r="I16" s="102" t="n">
        <f aca="false">SUM(I6:I15)</f>
        <v>0</v>
      </c>
      <c r="J16" s="102" t="n">
        <f aca="false">SUM(J6:J15)</f>
        <v>0</v>
      </c>
      <c r="K16" s="102" t="n">
        <f aca="false">SUM(K6:K15)</f>
        <v>0</v>
      </c>
      <c r="L16" s="12"/>
    </row>
    <row r="17" customFormat="false" ht="13.5" hidden="false" customHeight="true" outlineLevel="0" collapsed="false">
      <c r="B17" s="38" t="s">
        <v>69</v>
      </c>
      <c r="C17" s="38"/>
      <c r="D17" s="39" t="n">
        <f aca="false">SUM(D6:D15)</f>
        <v>51</v>
      </c>
      <c r="E17" s="103" t="n">
        <f aca="false">D17-SUM(E6:E15)</f>
        <v>51</v>
      </c>
      <c r="F17" s="103" t="n">
        <f aca="false">E17-SUM(F6:F15)</f>
        <v>51</v>
      </c>
      <c r="G17" s="103" t="n">
        <f aca="false">F17-SUM(G6:G15)</f>
        <v>51</v>
      </c>
      <c r="H17" s="103" t="n">
        <f aca="false">G17-SUM(H6:H15)</f>
        <v>51</v>
      </c>
      <c r="I17" s="103" t="n">
        <f aca="false">H17-SUM(I6:I15)</f>
        <v>51</v>
      </c>
      <c r="J17" s="103" t="n">
        <f aca="false">I17-SUM(J6:J15)</f>
        <v>51</v>
      </c>
      <c r="K17" s="103" t="n">
        <f aca="false">J17-SUM(K6:K15)</f>
        <v>51</v>
      </c>
    </row>
    <row r="18" customFormat="false" ht="13.5" hidden="false" customHeight="true" outlineLevel="0" collapsed="false">
      <c r="B18" s="43" t="s">
        <v>70</v>
      </c>
      <c r="C18" s="43"/>
      <c r="D18" s="44" t="n">
        <f aca="false">D17</f>
        <v>51</v>
      </c>
      <c r="E18" s="104" t="n">
        <f aca="false">$D$18-($D$18/7*1)</f>
        <v>43.7142857142857</v>
      </c>
      <c r="F18" s="104" t="n">
        <f aca="false">$D$18-($D$18/7*2)</f>
        <v>36.4285714285714</v>
      </c>
      <c r="G18" s="104" t="n">
        <f aca="false">$D$18-($D$18/7*3)</f>
        <v>29.1428571428571</v>
      </c>
      <c r="H18" s="104" t="n">
        <f aca="false">$D$18-($D$18/7*4)</f>
        <v>21.8571428571429</v>
      </c>
      <c r="I18" s="104" t="n">
        <f aca="false">$D$18-($D$18/7*5)</f>
        <v>14.5714285714286</v>
      </c>
      <c r="J18" s="104" t="n">
        <f aca="false">$D$18-($D$18/7*6)</f>
        <v>7.28571428571429</v>
      </c>
      <c r="K18" s="104" t="n">
        <f aca="false">$D$18-($D$18/7*7)</f>
        <v>0</v>
      </c>
    </row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/>
    <row r="85" customFormat="false" ht="13.5" hidden="false" customHeight="true" outlineLevel="0" collapsed="false"/>
    <row r="86" customFormat="false" ht="13.5" hidden="false" customHeight="true" outlineLevel="0" collapsed="false"/>
    <row r="87" customFormat="false" ht="13.5" hidden="false" customHeight="true" outlineLevel="0" collapsed="false"/>
    <row r="88" customFormat="false" ht="13.5" hidden="false" customHeight="true" outlineLevel="0" collapsed="false"/>
    <row r="89" customFormat="false" ht="13.5" hidden="false" customHeight="true" outlineLevel="0" collapsed="false"/>
    <row r="90" customFormat="false" ht="13.5" hidden="false" customHeight="true" outlineLevel="0" collapsed="false"/>
    <row r="91" customFormat="false" ht="13.5" hidden="false" customHeight="true" outlineLevel="0" collapsed="false"/>
    <row r="92" customFormat="false" ht="13.5" hidden="false" customHeight="true" outlineLevel="0" collapsed="false"/>
    <row r="93" customFormat="false" ht="13.5" hidden="false" customHeight="true" outlineLevel="0" collapsed="false"/>
    <row r="94" customFormat="false" ht="13.5" hidden="false" customHeight="true" outlineLevel="0" collapsed="false"/>
    <row r="95" customFormat="false" ht="13.5" hidden="false" customHeight="true" outlineLevel="0" collapsed="false"/>
    <row r="96" customFormat="false" ht="13.5" hidden="false" customHeight="true" outlineLevel="0" collapsed="false"/>
    <row r="97" customFormat="false" ht="13.5" hidden="false" customHeight="true" outlineLevel="0" collapsed="false"/>
    <row r="98" customFormat="false" ht="13.5" hidden="false" customHeight="true" outlineLevel="0" collapsed="false"/>
    <row r="99" customFormat="false" ht="13.5" hidden="false" customHeight="true" outlineLevel="0" collapsed="false"/>
    <row r="100" customFormat="false" ht="13.5" hidden="false" customHeight="true" outlineLevel="0" collapsed="false"/>
    <row r="101" customFormat="false" ht="13.5" hidden="false" customHeight="true" outlineLevel="0" collapsed="false"/>
    <row r="102" customFormat="false" ht="13.5" hidden="false" customHeight="true" outlineLevel="0" collapsed="false"/>
    <row r="103" customFormat="false" ht="13.5" hidden="false" customHeight="true" outlineLevel="0" collapsed="false"/>
    <row r="104" customFormat="false" ht="13.5" hidden="false" customHeight="true" outlineLevel="0" collapsed="false"/>
    <row r="105" customFormat="false" ht="13.5" hidden="false" customHeight="true" outlineLevel="0" collapsed="false"/>
    <row r="106" customFormat="false" ht="13.5" hidden="false" customHeight="true" outlineLevel="0" collapsed="false"/>
    <row r="107" customFormat="false" ht="13.5" hidden="false" customHeight="true" outlineLevel="0" collapsed="false"/>
    <row r="108" customFormat="false" ht="13.5" hidden="false" customHeight="true" outlineLevel="0" collapsed="false"/>
    <row r="109" customFormat="false" ht="13.5" hidden="false" customHeight="true" outlineLevel="0" collapsed="false"/>
    <row r="110" customFormat="false" ht="13.5" hidden="false" customHeight="true" outlineLevel="0" collapsed="false"/>
    <row r="111" customFormat="false" ht="13.5" hidden="false" customHeight="true" outlineLevel="0" collapsed="false"/>
    <row r="112" customFormat="false" ht="13.5" hidden="false" customHeight="true" outlineLevel="0" collapsed="false"/>
    <row r="113" customFormat="false" ht="13.5" hidden="false" customHeight="true" outlineLevel="0" collapsed="false"/>
    <row r="114" customFormat="false" ht="13.5" hidden="false" customHeight="true" outlineLevel="0" collapsed="false"/>
    <row r="115" customFormat="false" ht="13.5" hidden="false" customHeight="true" outlineLevel="0" collapsed="false"/>
    <row r="116" customFormat="false" ht="13.5" hidden="false" customHeight="true" outlineLevel="0" collapsed="false"/>
    <row r="117" customFormat="false" ht="13.5" hidden="false" customHeight="true" outlineLevel="0" collapsed="false"/>
    <row r="118" customFormat="false" ht="13.5" hidden="false" customHeight="true" outlineLevel="0" collapsed="false"/>
    <row r="119" customFormat="false" ht="13.5" hidden="false" customHeight="true" outlineLevel="0" collapsed="false"/>
    <row r="120" customFormat="false" ht="13.5" hidden="false" customHeight="true" outlineLevel="0" collapsed="false"/>
    <row r="121" customFormat="false" ht="13.5" hidden="false" customHeight="true" outlineLevel="0" collapsed="false"/>
    <row r="122" customFormat="false" ht="13.5" hidden="false" customHeight="true" outlineLevel="0" collapsed="false"/>
    <row r="123" customFormat="false" ht="13.5" hidden="false" customHeight="true" outlineLevel="0" collapsed="false"/>
    <row r="124" customFormat="false" ht="13.5" hidden="false" customHeight="true" outlineLevel="0" collapsed="false"/>
    <row r="125" customFormat="false" ht="13.5" hidden="false" customHeight="true" outlineLevel="0" collapsed="false"/>
    <row r="126" customFormat="false" ht="13.5" hidden="false" customHeight="true" outlineLevel="0" collapsed="false"/>
    <row r="127" customFormat="false" ht="13.5" hidden="false" customHeight="true" outlineLevel="0" collapsed="false"/>
    <row r="128" customFormat="false" ht="13.5" hidden="false" customHeight="true" outlineLevel="0" collapsed="false"/>
    <row r="129" customFormat="false" ht="13.5" hidden="false" customHeight="true" outlineLevel="0" collapsed="false"/>
    <row r="130" customFormat="false" ht="13.5" hidden="false" customHeight="true" outlineLevel="0" collapsed="false"/>
    <row r="131" customFormat="false" ht="13.5" hidden="false" customHeight="true" outlineLevel="0" collapsed="false"/>
    <row r="132" customFormat="false" ht="13.5" hidden="false" customHeight="true" outlineLevel="0" collapsed="false"/>
    <row r="133" customFormat="false" ht="13.5" hidden="false" customHeight="true" outlineLevel="0" collapsed="false"/>
    <row r="134" customFormat="false" ht="13.5" hidden="false" customHeight="true" outlineLevel="0" collapsed="false"/>
    <row r="135" customFormat="false" ht="13.5" hidden="false" customHeight="true" outlineLevel="0" collapsed="false"/>
    <row r="136" customFormat="false" ht="13.5" hidden="false" customHeight="true" outlineLevel="0" collapsed="false"/>
    <row r="137" customFormat="false" ht="13.5" hidden="false" customHeight="true" outlineLevel="0" collapsed="false"/>
    <row r="138" customFormat="false" ht="13.5" hidden="false" customHeight="true" outlineLevel="0" collapsed="false"/>
    <row r="139" customFormat="false" ht="13.5" hidden="false" customHeight="true" outlineLevel="0" collapsed="false"/>
    <row r="140" customFormat="false" ht="13.5" hidden="false" customHeight="true" outlineLevel="0" collapsed="false"/>
    <row r="141" customFormat="false" ht="13.5" hidden="false" customHeight="true" outlineLevel="0" collapsed="false"/>
    <row r="142" customFormat="false" ht="13.5" hidden="false" customHeight="true" outlineLevel="0" collapsed="false"/>
    <row r="143" customFormat="false" ht="13.5" hidden="false" customHeight="true" outlineLevel="0" collapsed="false"/>
    <row r="144" customFormat="false" ht="13.5" hidden="false" customHeight="true" outlineLevel="0" collapsed="false"/>
    <row r="145" customFormat="false" ht="13.5" hidden="false" customHeight="true" outlineLevel="0" collapsed="false"/>
    <row r="146" customFormat="false" ht="13.5" hidden="false" customHeight="true" outlineLevel="0" collapsed="false"/>
    <row r="147" customFormat="false" ht="13.5" hidden="false" customHeight="true" outlineLevel="0" collapsed="false"/>
    <row r="148" customFormat="false" ht="13.5" hidden="false" customHeight="true" outlineLevel="0" collapsed="false"/>
    <row r="149" customFormat="false" ht="13.5" hidden="false" customHeight="true" outlineLevel="0" collapsed="false"/>
    <row r="150" customFormat="false" ht="13.5" hidden="false" customHeight="true" outlineLevel="0" collapsed="false"/>
    <row r="151" customFormat="false" ht="13.5" hidden="false" customHeight="true" outlineLevel="0" collapsed="false"/>
    <row r="152" customFormat="false" ht="13.5" hidden="false" customHeight="true" outlineLevel="0" collapsed="false"/>
    <row r="153" customFormat="false" ht="13.5" hidden="false" customHeight="true" outlineLevel="0" collapsed="false"/>
    <row r="154" customFormat="false" ht="13.5" hidden="false" customHeight="true" outlineLevel="0" collapsed="false"/>
    <row r="155" customFormat="false" ht="13.5" hidden="false" customHeight="true" outlineLevel="0" collapsed="false"/>
    <row r="156" customFormat="false" ht="13.5" hidden="false" customHeight="true" outlineLevel="0" collapsed="false"/>
    <row r="157" customFormat="false" ht="13.5" hidden="false" customHeight="true" outlineLevel="0" collapsed="false"/>
    <row r="158" customFormat="false" ht="13.5" hidden="false" customHeight="true" outlineLevel="0" collapsed="false"/>
    <row r="159" customFormat="false" ht="13.5" hidden="false" customHeight="true" outlineLevel="0" collapsed="false"/>
    <row r="160" customFormat="false" ht="13.5" hidden="false" customHeight="true" outlineLevel="0" collapsed="false"/>
    <row r="161" customFormat="false" ht="13.5" hidden="false" customHeight="true" outlineLevel="0" collapsed="false"/>
    <row r="162" customFormat="false" ht="13.5" hidden="false" customHeight="true" outlineLevel="0" collapsed="false"/>
    <row r="163" customFormat="false" ht="13.5" hidden="false" customHeight="true" outlineLevel="0" collapsed="false"/>
    <row r="164" customFormat="false" ht="13.5" hidden="false" customHeight="true" outlineLevel="0" collapsed="false"/>
    <row r="165" customFormat="false" ht="13.5" hidden="false" customHeight="true" outlineLevel="0" collapsed="false"/>
    <row r="166" customFormat="false" ht="13.5" hidden="false" customHeight="true" outlineLevel="0" collapsed="false"/>
    <row r="167" customFormat="false" ht="13.5" hidden="false" customHeight="true" outlineLevel="0" collapsed="false"/>
    <row r="168" customFormat="false" ht="13.5" hidden="false" customHeight="true" outlineLevel="0" collapsed="false"/>
    <row r="169" customFormat="false" ht="13.5" hidden="false" customHeight="true" outlineLevel="0" collapsed="false"/>
    <row r="170" customFormat="false" ht="13.5" hidden="false" customHeight="true" outlineLevel="0" collapsed="false"/>
    <row r="171" customFormat="false" ht="13.5" hidden="false" customHeight="true" outlineLevel="0" collapsed="false"/>
    <row r="172" customFormat="false" ht="13.5" hidden="false" customHeight="true" outlineLevel="0" collapsed="false"/>
    <row r="173" customFormat="false" ht="13.5" hidden="false" customHeight="true" outlineLevel="0" collapsed="false"/>
    <row r="174" customFormat="false" ht="13.5" hidden="false" customHeight="true" outlineLevel="0" collapsed="false"/>
    <row r="175" customFormat="false" ht="13.5" hidden="false" customHeight="true" outlineLevel="0" collapsed="false"/>
    <row r="176" customFormat="false" ht="13.5" hidden="false" customHeight="true" outlineLevel="0" collapsed="false"/>
    <row r="177" customFormat="false" ht="13.5" hidden="false" customHeight="true" outlineLevel="0" collapsed="false"/>
    <row r="178" customFormat="false" ht="13.5" hidden="false" customHeight="true" outlineLevel="0" collapsed="false"/>
    <row r="179" customFormat="false" ht="13.5" hidden="false" customHeight="true" outlineLevel="0" collapsed="false"/>
    <row r="180" customFormat="false" ht="13.5" hidden="false" customHeight="true" outlineLevel="0" collapsed="false"/>
    <row r="181" customFormat="false" ht="13.5" hidden="false" customHeight="true" outlineLevel="0" collapsed="false"/>
    <row r="182" customFormat="false" ht="13.5" hidden="false" customHeight="true" outlineLevel="0" collapsed="false"/>
    <row r="183" customFormat="false" ht="13.5" hidden="false" customHeight="true" outlineLevel="0" collapsed="false"/>
    <row r="184" customFormat="false" ht="13.5" hidden="false" customHeight="true" outlineLevel="0" collapsed="false"/>
    <row r="185" customFormat="false" ht="13.5" hidden="false" customHeight="true" outlineLevel="0" collapsed="false"/>
    <row r="186" customFormat="false" ht="13.5" hidden="false" customHeight="true" outlineLevel="0" collapsed="false"/>
    <row r="187" customFormat="false" ht="13.5" hidden="false" customHeight="true" outlineLevel="0" collapsed="false"/>
    <row r="188" customFormat="false" ht="13.5" hidden="false" customHeight="true" outlineLevel="0" collapsed="false"/>
    <row r="189" customFormat="false" ht="13.5" hidden="false" customHeight="true" outlineLevel="0" collapsed="false"/>
    <row r="190" customFormat="false" ht="13.5" hidden="false" customHeight="true" outlineLevel="0" collapsed="false"/>
    <row r="191" customFormat="false" ht="13.5" hidden="false" customHeight="true" outlineLevel="0" collapsed="false"/>
    <row r="192" customFormat="false" ht="13.5" hidden="false" customHeight="true" outlineLevel="0" collapsed="false"/>
    <row r="193" customFormat="false" ht="13.5" hidden="false" customHeight="true" outlineLevel="0" collapsed="false"/>
    <row r="194" customFormat="false" ht="13.5" hidden="false" customHeight="true" outlineLevel="0" collapsed="false"/>
    <row r="195" customFormat="false" ht="13.5" hidden="false" customHeight="true" outlineLevel="0" collapsed="false"/>
    <row r="196" customFormat="false" ht="13.5" hidden="false" customHeight="true" outlineLevel="0" collapsed="false"/>
    <row r="197" customFormat="false" ht="13.5" hidden="false" customHeight="true" outlineLevel="0" collapsed="false"/>
    <row r="198" customFormat="false" ht="13.5" hidden="false" customHeight="true" outlineLevel="0" collapsed="false"/>
    <row r="199" customFormat="false" ht="13.5" hidden="false" customHeight="true" outlineLevel="0" collapsed="false"/>
    <row r="200" customFormat="false" ht="13.5" hidden="false" customHeight="true" outlineLevel="0" collapsed="false"/>
    <row r="201" customFormat="false" ht="13.5" hidden="false" customHeight="true" outlineLevel="0" collapsed="false"/>
    <row r="202" customFormat="false" ht="13.5" hidden="false" customHeight="true" outlineLevel="0" collapsed="false"/>
    <row r="203" customFormat="false" ht="13.5" hidden="false" customHeight="true" outlineLevel="0" collapsed="false"/>
    <row r="204" customFormat="false" ht="13.5" hidden="false" customHeight="true" outlineLevel="0" collapsed="false"/>
    <row r="205" customFormat="false" ht="13.5" hidden="false" customHeight="true" outlineLevel="0" collapsed="false"/>
    <row r="206" customFormat="false" ht="13.5" hidden="false" customHeight="true" outlineLevel="0" collapsed="false"/>
    <row r="207" customFormat="false" ht="13.5" hidden="false" customHeight="true" outlineLevel="0" collapsed="false"/>
    <row r="208" customFormat="false" ht="13.5" hidden="false" customHeight="true" outlineLevel="0" collapsed="false"/>
    <row r="209" customFormat="false" ht="13.5" hidden="false" customHeight="true" outlineLevel="0" collapsed="false"/>
    <row r="210" customFormat="false" ht="13.5" hidden="false" customHeight="true" outlineLevel="0" collapsed="false"/>
    <row r="211" customFormat="false" ht="13.5" hidden="false" customHeight="true" outlineLevel="0" collapsed="false"/>
    <row r="212" customFormat="false" ht="13.5" hidden="false" customHeight="true" outlineLevel="0" collapsed="false"/>
    <row r="213" customFormat="false" ht="13.5" hidden="false" customHeight="true" outlineLevel="0" collapsed="false"/>
    <row r="214" customFormat="false" ht="13.5" hidden="false" customHeight="true" outlineLevel="0" collapsed="false"/>
    <row r="215" customFormat="false" ht="13.5" hidden="false" customHeight="true" outlineLevel="0" collapsed="false"/>
    <row r="216" customFormat="false" ht="13.5" hidden="false" customHeight="true" outlineLevel="0" collapsed="false"/>
    <row r="217" customFormat="false" ht="13.5" hidden="false" customHeight="true" outlineLevel="0" collapsed="false"/>
    <row r="218" customFormat="false" ht="13.5" hidden="false" customHeight="true" outlineLevel="0" collapsed="false"/>
    <row r="219" customFormat="false" ht="13.5" hidden="false" customHeight="true" outlineLevel="0" collapsed="false"/>
    <row r="220" customFormat="false" ht="13.5" hidden="false" customHeight="true" outlineLevel="0" collapsed="false"/>
    <row r="221" customFormat="false" ht="13.5" hidden="false" customHeight="true" outlineLevel="0" collapsed="false"/>
    <row r="222" customFormat="false" ht="13.5" hidden="false" customHeight="true" outlineLevel="0" collapsed="false"/>
    <row r="223" customFormat="false" ht="13.5" hidden="false" customHeight="true" outlineLevel="0" collapsed="false"/>
    <row r="224" customFormat="false" ht="13.5" hidden="false" customHeight="true" outlineLevel="0" collapsed="false"/>
    <row r="225" customFormat="false" ht="13.5" hidden="false" customHeight="true" outlineLevel="0" collapsed="false"/>
    <row r="226" customFormat="false" ht="13.5" hidden="false" customHeight="true" outlineLevel="0" collapsed="false"/>
    <row r="227" customFormat="false" ht="13.5" hidden="false" customHeight="true" outlineLevel="0" collapsed="false"/>
    <row r="228" customFormat="false" ht="13.5" hidden="false" customHeight="true" outlineLevel="0" collapsed="false"/>
    <row r="229" customFormat="false" ht="13.5" hidden="false" customHeight="true" outlineLevel="0" collapsed="false"/>
    <row r="230" customFormat="false" ht="13.5" hidden="false" customHeight="true" outlineLevel="0" collapsed="false"/>
    <row r="231" customFormat="false" ht="13.5" hidden="false" customHeight="true" outlineLevel="0" collapsed="false"/>
    <row r="232" customFormat="false" ht="13.5" hidden="false" customHeight="true" outlineLevel="0" collapsed="false"/>
    <row r="233" customFormat="false" ht="13.5" hidden="false" customHeight="true" outlineLevel="0" collapsed="false"/>
    <row r="234" customFormat="false" ht="13.5" hidden="false" customHeight="true" outlineLevel="0" collapsed="false"/>
    <row r="235" customFormat="false" ht="13.5" hidden="false" customHeight="true" outlineLevel="0" collapsed="false"/>
    <row r="236" customFormat="false" ht="13.5" hidden="false" customHeight="true" outlineLevel="0" collapsed="false"/>
    <row r="237" customFormat="false" ht="13.5" hidden="false" customHeight="true" outlineLevel="0" collapsed="false"/>
    <row r="238" customFormat="false" ht="13.5" hidden="false" customHeight="true" outlineLevel="0" collapsed="false"/>
    <row r="239" customFormat="false" ht="13.5" hidden="false" customHeight="true" outlineLevel="0" collapsed="false"/>
    <row r="240" customFormat="false" ht="13.5" hidden="false" customHeight="true" outlineLevel="0" collapsed="false"/>
    <row r="241" customFormat="false" ht="13.5" hidden="false" customHeight="true" outlineLevel="0" collapsed="false"/>
    <row r="242" customFormat="false" ht="13.5" hidden="false" customHeight="true" outlineLevel="0" collapsed="false"/>
    <row r="243" customFormat="false" ht="13.5" hidden="false" customHeight="true" outlineLevel="0" collapsed="false"/>
    <row r="244" customFormat="false" ht="13.5" hidden="false" customHeight="true" outlineLevel="0" collapsed="false"/>
    <row r="245" customFormat="false" ht="13.5" hidden="false" customHeight="true" outlineLevel="0" collapsed="false"/>
    <row r="246" customFormat="false" ht="13.5" hidden="false" customHeight="true" outlineLevel="0" collapsed="false"/>
    <row r="247" customFormat="false" ht="13.5" hidden="false" customHeight="true" outlineLevel="0" collapsed="false"/>
    <row r="248" customFormat="false" ht="13.5" hidden="false" customHeight="true" outlineLevel="0" collapsed="false"/>
    <row r="249" customFormat="false" ht="13.5" hidden="false" customHeight="true" outlineLevel="0" collapsed="false"/>
    <row r="250" customFormat="false" ht="13.5" hidden="false" customHeight="true" outlineLevel="0" collapsed="false"/>
    <row r="251" customFormat="false" ht="13.5" hidden="false" customHeight="true" outlineLevel="0" collapsed="false"/>
    <row r="252" customFormat="false" ht="13.5" hidden="false" customHeight="true" outlineLevel="0" collapsed="false"/>
    <row r="253" customFormat="false" ht="13.5" hidden="false" customHeight="true" outlineLevel="0" collapsed="false"/>
    <row r="254" customFormat="false" ht="13.5" hidden="false" customHeight="true" outlineLevel="0" collapsed="false"/>
    <row r="255" customFormat="false" ht="13.5" hidden="false" customHeight="true" outlineLevel="0" collapsed="false"/>
    <row r="256" customFormat="false" ht="13.5" hidden="false" customHeight="true" outlineLevel="0" collapsed="false"/>
    <row r="257" customFormat="false" ht="13.5" hidden="false" customHeight="true" outlineLevel="0" collapsed="false"/>
    <row r="258" customFormat="false" ht="13.5" hidden="false" customHeight="true" outlineLevel="0" collapsed="false"/>
    <row r="259" customFormat="false" ht="13.5" hidden="false" customHeight="true" outlineLevel="0" collapsed="false"/>
    <row r="260" customFormat="false" ht="13.5" hidden="false" customHeight="true" outlineLevel="0" collapsed="false"/>
    <row r="261" customFormat="false" ht="13.5" hidden="false" customHeight="true" outlineLevel="0" collapsed="false"/>
    <row r="262" customFormat="false" ht="13.5" hidden="false" customHeight="true" outlineLevel="0" collapsed="false"/>
    <row r="263" customFormat="false" ht="13.5" hidden="false" customHeight="true" outlineLevel="0" collapsed="false"/>
    <row r="264" customFormat="false" ht="13.5" hidden="false" customHeight="true" outlineLevel="0" collapsed="false"/>
    <row r="265" customFormat="false" ht="13.5" hidden="false" customHeight="true" outlineLevel="0" collapsed="false"/>
    <row r="266" customFormat="false" ht="13.5" hidden="false" customHeight="true" outlineLevel="0" collapsed="false"/>
    <row r="267" customFormat="false" ht="13.5" hidden="false" customHeight="true" outlineLevel="0" collapsed="false"/>
    <row r="268" customFormat="false" ht="13.5" hidden="false" customHeight="true" outlineLevel="0" collapsed="false"/>
    <row r="269" customFormat="false" ht="13.5" hidden="false" customHeight="true" outlineLevel="0" collapsed="false"/>
    <row r="270" customFormat="false" ht="13.5" hidden="false" customHeight="true" outlineLevel="0" collapsed="false"/>
    <row r="271" customFormat="false" ht="13.5" hidden="false" customHeight="true" outlineLevel="0" collapsed="false"/>
    <row r="272" customFormat="false" ht="13.5" hidden="false" customHeight="true" outlineLevel="0" collapsed="false"/>
    <row r="273" customFormat="false" ht="13.5" hidden="false" customHeight="true" outlineLevel="0" collapsed="false"/>
    <row r="274" customFormat="false" ht="13.5" hidden="false" customHeight="true" outlineLevel="0" collapsed="false"/>
    <row r="275" customFormat="false" ht="13.5" hidden="false" customHeight="true" outlineLevel="0" collapsed="false"/>
    <row r="276" customFormat="false" ht="13.5" hidden="false" customHeight="true" outlineLevel="0" collapsed="false"/>
    <row r="277" customFormat="false" ht="13.5" hidden="false" customHeight="true" outlineLevel="0" collapsed="false"/>
    <row r="278" customFormat="false" ht="13.5" hidden="false" customHeight="true" outlineLevel="0" collapsed="false"/>
    <row r="279" customFormat="false" ht="13.5" hidden="false" customHeight="true" outlineLevel="0" collapsed="false"/>
    <row r="280" customFormat="false" ht="13.5" hidden="false" customHeight="true" outlineLevel="0" collapsed="false"/>
    <row r="281" customFormat="false" ht="13.5" hidden="false" customHeight="true" outlineLevel="0" collapsed="false"/>
    <row r="282" customFormat="false" ht="13.5" hidden="false" customHeight="true" outlineLevel="0" collapsed="false"/>
    <row r="283" customFormat="false" ht="13.5" hidden="false" customHeight="true" outlineLevel="0" collapsed="false"/>
    <row r="284" customFormat="false" ht="13.5" hidden="false" customHeight="true" outlineLevel="0" collapsed="false"/>
    <row r="285" customFormat="false" ht="13.5" hidden="false" customHeight="true" outlineLevel="0" collapsed="false"/>
    <row r="286" customFormat="false" ht="13.5" hidden="false" customHeight="true" outlineLevel="0" collapsed="false"/>
    <row r="287" customFormat="false" ht="13.5" hidden="false" customHeight="true" outlineLevel="0" collapsed="false"/>
    <row r="288" customFormat="false" ht="13.5" hidden="false" customHeight="true" outlineLevel="0" collapsed="false"/>
    <row r="289" customFormat="false" ht="13.5" hidden="false" customHeight="true" outlineLevel="0" collapsed="false"/>
    <row r="290" customFormat="false" ht="13.5" hidden="false" customHeight="true" outlineLevel="0" collapsed="false"/>
    <row r="291" customFormat="false" ht="13.5" hidden="false" customHeight="true" outlineLevel="0" collapsed="false"/>
    <row r="292" customFormat="false" ht="13.5" hidden="false" customHeight="true" outlineLevel="0" collapsed="false"/>
    <row r="293" customFormat="false" ht="13.5" hidden="false" customHeight="true" outlineLevel="0" collapsed="false"/>
    <row r="294" customFormat="false" ht="13.5" hidden="false" customHeight="true" outlineLevel="0" collapsed="false"/>
    <row r="295" customFormat="false" ht="13.5" hidden="false" customHeight="true" outlineLevel="0" collapsed="false"/>
    <row r="296" customFormat="false" ht="13.5" hidden="false" customHeight="true" outlineLevel="0" collapsed="false"/>
    <row r="297" customFormat="false" ht="13.5" hidden="false" customHeight="true" outlineLevel="0" collapsed="false"/>
    <row r="298" customFormat="false" ht="13.5" hidden="false" customHeight="true" outlineLevel="0" collapsed="false"/>
    <row r="299" customFormat="false" ht="13.5" hidden="false" customHeight="true" outlineLevel="0" collapsed="false"/>
    <row r="300" customFormat="false" ht="13.5" hidden="false" customHeight="true" outlineLevel="0" collapsed="false"/>
    <row r="301" customFormat="false" ht="13.5" hidden="false" customHeight="true" outlineLevel="0" collapsed="false"/>
    <row r="302" customFormat="false" ht="13.5" hidden="false" customHeight="true" outlineLevel="0" collapsed="false"/>
    <row r="303" customFormat="false" ht="13.5" hidden="false" customHeight="true" outlineLevel="0" collapsed="false"/>
    <row r="304" customFormat="false" ht="13.5" hidden="false" customHeight="true" outlineLevel="0" collapsed="false"/>
    <row r="305" customFormat="false" ht="13.5" hidden="false" customHeight="true" outlineLevel="0" collapsed="false"/>
    <row r="306" customFormat="false" ht="13.5" hidden="false" customHeight="true" outlineLevel="0" collapsed="false"/>
    <row r="307" customFormat="false" ht="13.5" hidden="false" customHeight="true" outlineLevel="0" collapsed="false"/>
    <row r="308" customFormat="false" ht="13.5" hidden="false" customHeight="true" outlineLevel="0" collapsed="false"/>
    <row r="309" customFormat="false" ht="13.5" hidden="false" customHeight="true" outlineLevel="0" collapsed="false"/>
    <row r="310" customFormat="false" ht="13.5" hidden="false" customHeight="true" outlineLevel="0" collapsed="false"/>
    <row r="311" customFormat="false" ht="13.5" hidden="false" customHeight="true" outlineLevel="0" collapsed="false"/>
    <row r="312" customFormat="false" ht="13.5" hidden="false" customHeight="true" outlineLevel="0" collapsed="false"/>
    <row r="313" customFormat="false" ht="13.5" hidden="false" customHeight="true" outlineLevel="0" collapsed="false"/>
    <row r="314" customFormat="false" ht="13.5" hidden="false" customHeight="true" outlineLevel="0" collapsed="false"/>
    <row r="315" customFormat="false" ht="13.5" hidden="false" customHeight="true" outlineLevel="0" collapsed="false"/>
    <row r="316" customFormat="false" ht="13.5" hidden="false" customHeight="true" outlineLevel="0" collapsed="false"/>
    <row r="317" customFormat="false" ht="13.5" hidden="false" customHeight="true" outlineLevel="0" collapsed="false"/>
    <row r="318" customFormat="false" ht="13.5" hidden="false" customHeight="true" outlineLevel="0" collapsed="false"/>
    <row r="319" customFormat="false" ht="13.5" hidden="false" customHeight="true" outlineLevel="0" collapsed="false"/>
    <row r="320" customFormat="false" ht="13.5" hidden="false" customHeight="true" outlineLevel="0" collapsed="false"/>
    <row r="321" customFormat="false" ht="13.5" hidden="false" customHeight="true" outlineLevel="0" collapsed="false"/>
    <row r="322" customFormat="false" ht="13.5" hidden="false" customHeight="true" outlineLevel="0" collapsed="false"/>
    <row r="323" customFormat="false" ht="13.5" hidden="false" customHeight="true" outlineLevel="0" collapsed="false"/>
    <row r="324" customFormat="false" ht="13.5" hidden="false" customHeight="true" outlineLevel="0" collapsed="false"/>
    <row r="325" customFormat="false" ht="13.5" hidden="false" customHeight="true" outlineLevel="0" collapsed="false"/>
    <row r="326" customFormat="false" ht="13.5" hidden="false" customHeight="true" outlineLevel="0" collapsed="false"/>
    <row r="327" customFormat="false" ht="13.5" hidden="false" customHeight="true" outlineLevel="0" collapsed="false"/>
    <row r="328" customFormat="false" ht="13.5" hidden="false" customHeight="true" outlineLevel="0" collapsed="false"/>
    <row r="329" customFormat="false" ht="13.5" hidden="false" customHeight="true" outlineLevel="0" collapsed="false"/>
    <row r="330" customFormat="false" ht="13.5" hidden="false" customHeight="true" outlineLevel="0" collapsed="false"/>
    <row r="331" customFormat="false" ht="13.5" hidden="false" customHeight="true" outlineLevel="0" collapsed="false"/>
    <row r="332" customFormat="false" ht="13.5" hidden="false" customHeight="true" outlineLevel="0" collapsed="false"/>
    <row r="333" customFormat="false" ht="13.5" hidden="false" customHeight="true" outlineLevel="0" collapsed="false"/>
    <row r="334" customFormat="false" ht="13.5" hidden="false" customHeight="true" outlineLevel="0" collapsed="false"/>
    <row r="335" customFormat="false" ht="13.5" hidden="false" customHeight="true" outlineLevel="0" collapsed="false"/>
    <row r="336" customFormat="false" ht="13.5" hidden="false" customHeight="true" outlineLevel="0" collapsed="false"/>
    <row r="337" customFormat="false" ht="13.5" hidden="false" customHeight="true" outlineLevel="0" collapsed="false"/>
    <row r="338" customFormat="false" ht="13.5" hidden="false" customHeight="true" outlineLevel="0" collapsed="false"/>
    <row r="339" customFormat="false" ht="13.5" hidden="false" customHeight="true" outlineLevel="0" collapsed="false"/>
    <row r="340" customFormat="false" ht="13.5" hidden="false" customHeight="true" outlineLevel="0" collapsed="false"/>
    <row r="341" customFormat="false" ht="13.5" hidden="false" customHeight="true" outlineLevel="0" collapsed="false"/>
    <row r="342" customFormat="false" ht="13.5" hidden="false" customHeight="true" outlineLevel="0" collapsed="false"/>
    <row r="343" customFormat="false" ht="13.5" hidden="false" customHeight="true" outlineLevel="0" collapsed="false"/>
    <row r="344" customFormat="false" ht="13.5" hidden="false" customHeight="true" outlineLevel="0" collapsed="false"/>
    <row r="345" customFormat="false" ht="13.5" hidden="false" customHeight="true" outlineLevel="0" collapsed="false"/>
    <row r="346" customFormat="false" ht="13.5" hidden="false" customHeight="true" outlineLevel="0" collapsed="false"/>
    <row r="347" customFormat="false" ht="13.5" hidden="false" customHeight="true" outlineLevel="0" collapsed="false"/>
    <row r="348" customFormat="false" ht="13.5" hidden="false" customHeight="true" outlineLevel="0" collapsed="false"/>
    <row r="349" customFormat="false" ht="13.5" hidden="false" customHeight="true" outlineLevel="0" collapsed="false"/>
    <row r="350" customFormat="false" ht="13.5" hidden="false" customHeight="true" outlineLevel="0" collapsed="false"/>
    <row r="351" customFormat="false" ht="13.5" hidden="false" customHeight="true" outlineLevel="0" collapsed="false"/>
    <row r="352" customFormat="false" ht="13.5" hidden="false" customHeight="true" outlineLevel="0" collapsed="false"/>
    <row r="353" customFormat="false" ht="13.5" hidden="false" customHeight="true" outlineLevel="0" collapsed="false"/>
    <row r="354" customFormat="false" ht="13.5" hidden="false" customHeight="true" outlineLevel="0" collapsed="false"/>
    <row r="355" customFormat="false" ht="13.5" hidden="false" customHeight="true" outlineLevel="0" collapsed="false"/>
    <row r="356" customFormat="false" ht="13.5" hidden="false" customHeight="true" outlineLevel="0" collapsed="false"/>
    <row r="357" customFormat="false" ht="13.5" hidden="false" customHeight="true" outlineLevel="0" collapsed="false"/>
    <row r="358" customFormat="false" ht="13.5" hidden="false" customHeight="true" outlineLevel="0" collapsed="false"/>
    <row r="359" customFormat="false" ht="13.5" hidden="false" customHeight="true" outlineLevel="0" collapsed="false"/>
    <row r="360" customFormat="false" ht="13.5" hidden="false" customHeight="true" outlineLevel="0" collapsed="false"/>
    <row r="361" customFormat="false" ht="13.5" hidden="false" customHeight="true" outlineLevel="0" collapsed="false"/>
    <row r="362" customFormat="false" ht="13.5" hidden="false" customHeight="true" outlineLevel="0" collapsed="false"/>
    <row r="363" customFormat="false" ht="13.5" hidden="false" customHeight="true" outlineLevel="0" collapsed="false"/>
    <row r="364" customFormat="false" ht="13.5" hidden="false" customHeight="true" outlineLevel="0" collapsed="false"/>
    <row r="365" customFormat="false" ht="13.5" hidden="false" customHeight="true" outlineLevel="0" collapsed="false"/>
    <row r="366" customFormat="false" ht="13.5" hidden="false" customHeight="true" outlineLevel="0" collapsed="false"/>
    <row r="367" customFormat="false" ht="13.5" hidden="false" customHeight="true" outlineLevel="0" collapsed="false"/>
    <row r="368" customFormat="false" ht="13.5" hidden="false" customHeight="true" outlineLevel="0" collapsed="false"/>
    <row r="369" customFormat="false" ht="13.5" hidden="false" customHeight="true" outlineLevel="0" collapsed="false"/>
    <row r="370" customFormat="false" ht="13.5" hidden="false" customHeight="true" outlineLevel="0" collapsed="false"/>
    <row r="371" customFormat="false" ht="13.5" hidden="false" customHeight="true" outlineLevel="0" collapsed="false"/>
    <row r="372" customFormat="false" ht="13.5" hidden="false" customHeight="true" outlineLevel="0" collapsed="false"/>
    <row r="373" customFormat="false" ht="13.5" hidden="false" customHeight="true" outlineLevel="0" collapsed="false"/>
    <row r="374" customFormat="false" ht="13.5" hidden="false" customHeight="true" outlineLevel="0" collapsed="false"/>
    <row r="375" customFormat="false" ht="13.5" hidden="false" customHeight="true" outlineLevel="0" collapsed="false"/>
    <row r="376" customFormat="false" ht="13.5" hidden="false" customHeight="true" outlineLevel="0" collapsed="false"/>
    <row r="377" customFormat="false" ht="13.5" hidden="false" customHeight="true" outlineLevel="0" collapsed="false"/>
    <row r="378" customFormat="false" ht="13.5" hidden="false" customHeight="true" outlineLevel="0" collapsed="false"/>
    <row r="379" customFormat="false" ht="13.5" hidden="false" customHeight="true" outlineLevel="0" collapsed="false"/>
    <row r="380" customFormat="false" ht="13.5" hidden="false" customHeight="true" outlineLevel="0" collapsed="false"/>
    <row r="381" customFormat="false" ht="13.5" hidden="false" customHeight="true" outlineLevel="0" collapsed="false"/>
    <row r="382" customFormat="false" ht="13.5" hidden="false" customHeight="true" outlineLevel="0" collapsed="false"/>
    <row r="383" customFormat="false" ht="13.5" hidden="false" customHeight="true" outlineLevel="0" collapsed="false"/>
    <row r="384" customFormat="false" ht="13.5" hidden="false" customHeight="true" outlineLevel="0" collapsed="false"/>
    <row r="385" customFormat="false" ht="13.5" hidden="false" customHeight="true" outlineLevel="0" collapsed="false"/>
    <row r="386" customFormat="false" ht="13.5" hidden="false" customHeight="true" outlineLevel="0" collapsed="false"/>
    <row r="387" customFormat="false" ht="13.5" hidden="false" customHeight="true" outlineLevel="0" collapsed="false"/>
    <row r="388" customFormat="false" ht="13.5" hidden="false" customHeight="true" outlineLevel="0" collapsed="false"/>
    <row r="389" customFormat="false" ht="13.5" hidden="false" customHeight="true" outlineLevel="0" collapsed="false"/>
    <row r="390" customFormat="false" ht="13.5" hidden="false" customHeight="true" outlineLevel="0" collapsed="false"/>
    <row r="391" customFormat="false" ht="13.5" hidden="false" customHeight="true" outlineLevel="0" collapsed="false"/>
    <row r="392" customFormat="false" ht="13.5" hidden="false" customHeight="true" outlineLevel="0" collapsed="false"/>
    <row r="393" customFormat="false" ht="13.5" hidden="false" customHeight="true" outlineLevel="0" collapsed="false"/>
    <row r="394" customFormat="false" ht="13.5" hidden="false" customHeight="true" outlineLevel="0" collapsed="false"/>
    <row r="395" customFormat="false" ht="13.5" hidden="false" customHeight="true" outlineLevel="0" collapsed="false"/>
    <row r="396" customFormat="false" ht="13.5" hidden="false" customHeight="true" outlineLevel="0" collapsed="false"/>
    <row r="397" customFormat="false" ht="13.5" hidden="false" customHeight="true" outlineLevel="0" collapsed="false"/>
    <row r="398" customFormat="false" ht="13.5" hidden="false" customHeight="true" outlineLevel="0" collapsed="false"/>
    <row r="399" customFormat="false" ht="13.5" hidden="false" customHeight="true" outlineLevel="0" collapsed="false"/>
    <row r="400" customFormat="false" ht="13.5" hidden="false" customHeight="true" outlineLevel="0" collapsed="false"/>
    <row r="401" customFormat="false" ht="13.5" hidden="false" customHeight="true" outlineLevel="0" collapsed="false"/>
    <row r="402" customFormat="false" ht="13.5" hidden="false" customHeight="true" outlineLevel="0" collapsed="false"/>
    <row r="403" customFormat="false" ht="13.5" hidden="false" customHeight="true" outlineLevel="0" collapsed="false"/>
    <row r="404" customFormat="false" ht="13.5" hidden="false" customHeight="true" outlineLevel="0" collapsed="false"/>
    <row r="405" customFormat="false" ht="13.5" hidden="false" customHeight="true" outlineLevel="0" collapsed="false"/>
    <row r="406" customFormat="false" ht="13.5" hidden="false" customHeight="true" outlineLevel="0" collapsed="false"/>
    <row r="407" customFormat="false" ht="13.5" hidden="false" customHeight="true" outlineLevel="0" collapsed="false"/>
    <row r="408" customFormat="false" ht="13.5" hidden="false" customHeight="true" outlineLevel="0" collapsed="false"/>
    <row r="409" customFormat="false" ht="13.5" hidden="false" customHeight="true" outlineLevel="0" collapsed="false"/>
    <row r="410" customFormat="false" ht="13.5" hidden="false" customHeight="true" outlineLevel="0" collapsed="false"/>
    <row r="411" customFormat="false" ht="13.5" hidden="false" customHeight="true" outlineLevel="0" collapsed="false"/>
    <row r="412" customFormat="false" ht="13.5" hidden="false" customHeight="true" outlineLevel="0" collapsed="false"/>
    <row r="413" customFormat="false" ht="13.5" hidden="false" customHeight="true" outlineLevel="0" collapsed="false"/>
    <row r="414" customFormat="false" ht="13.5" hidden="false" customHeight="true" outlineLevel="0" collapsed="false"/>
    <row r="415" customFormat="false" ht="13.5" hidden="false" customHeight="true" outlineLevel="0" collapsed="false"/>
    <row r="416" customFormat="false" ht="13.5" hidden="false" customHeight="true" outlineLevel="0" collapsed="false"/>
    <row r="417" customFormat="false" ht="13.5" hidden="false" customHeight="true" outlineLevel="0" collapsed="false"/>
    <row r="418" customFormat="false" ht="13.5" hidden="false" customHeight="true" outlineLevel="0" collapsed="false"/>
    <row r="419" customFormat="false" ht="13.5" hidden="false" customHeight="true" outlineLevel="0" collapsed="false"/>
    <row r="420" customFormat="false" ht="13.5" hidden="false" customHeight="true" outlineLevel="0" collapsed="false"/>
    <row r="421" customFormat="false" ht="13.5" hidden="false" customHeight="true" outlineLevel="0" collapsed="false"/>
    <row r="422" customFormat="false" ht="13.5" hidden="false" customHeight="true" outlineLevel="0" collapsed="false"/>
    <row r="423" customFormat="false" ht="13.5" hidden="false" customHeight="true" outlineLevel="0" collapsed="false"/>
    <row r="424" customFormat="false" ht="13.5" hidden="false" customHeight="true" outlineLevel="0" collapsed="false"/>
    <row r="425" customFormat="false" ht="13.5" hidden="false" customHeight="true" outlineLevel="0" collapsed="false"/>
    <row r="426" customFormat="false" ht="13.5" hidden="false" customHeight="true" outlineLevel="0" collapsed="false"/>
    <row r="427" customFormat="false" ht="13.5" hidden="false" customHeight="true" outlineLevel="0" collapsed="false"/>
    <row r="428" customFormat="false" ht="13.5" hidden="false" customHeight="true" outlineLevel="0" collapsed="false"/>
    <row r="429" customFormat="false" ht="13.5" hidden="false" customHeight="true" outlineLevel="0" collapsed="false"/>
    <row r="430" customFormat="false" ht="13.5" hidden="false" customHeight="true" outlineLevel="0" collapsed="false"/>
    <row r="431" customFormat="false" ht="13.5" hidden="false" customHeight="true" outlineLevel="0" collapsed="false"/>
    <row r="432" customFormat="false" ht="13.5" hidden="false" customHeight="true" outlineLevel="0" collapsed="false"/>
    <row r="433" customFormat="false" ht="13.5" hidden="false" customHeight="true" outlineLevel="0" collapsed="false"/>
    <row r="434" customFormat="false" ht="13.5" hidden="false" customHeight="true" outlineLevel="0" collapsed="false"/>
    <row r="435" customFormat="false" ht="13.5" hidden="false" customHeight="true" outlineLevel="0" collapsed="false"/>
    <row r="436" customFormat="false" ht="13.5" hidden="false" customHeight="true" outlineLevel="0" collapsed="false"/>
    <row r="437" customFormat="false" ht="13.5" hidden="false" customHeight="true" outlineLevel="0" collapsed="false"/>
    <row r="438" customFormat="false" ht="13.5" hidden="false" customHeight="true" outlineLevel="0" collapsed="false"/>
    <row r="439" customFormat="false" ht="13.5" hidden="false" customHeight="true" outlineLevel="0" collapsed="false"/>
    <row r="440" customFormat="false" ht="13.5" hidden="false" customHeight="true" outlineLevel="0" collapsed="false"/>
    <row r="441" customFormat="false" ht="13.5" hidden="false" customHeight="true" outlineLevel="0" collapsed="false"/>
    <row r="442" customFormat="false" ht="13.5" hidden="false" customHeight="true" outlineLevel="0" collapsed="false"/>
    <row r="443" customFormat="false" ht="13.5" hidden="false" customHeight="true" outlineLevel="0" collapsed="false"/>
    <row r="444" customFormat="false" ht="13.5" hidden="false" customHeight="true" outlineLevel="0" collapsed="false"/>
    <row r="445" customFormat="false" ht="13.5" hidden="false" customHeight="true" outlineLevel="0" collapsed="false"/>
    <row r="446" customFormat="false" ht="13.5" hidden="false" customHeight="true" outlineLevel="0" collapsed="false"/>
    <row r="447" customFormat="false" ht="13.5" hidden="false" customHeight="true" outlineLevel="0" collapsed="false"/>
    <row r="448" customFormat="false" ht="13.5" hidden="false" customHeight="true" outlineLevel="0" collapsed="false"/>
    <row r="449" customFormat="false" ht="13.5" hidden="false" customHeight="true" outlineLevel="0" collapsed="false"/>
    <row r="450" customFormat="false" ht="13.5" hidden="false" customHeight="true" outlineLevel="0" collapsed="false"/>
    <row r="451" customFormat="false" ht="13.5" hidden="false" customHeight="true" outlineLevel="0" collapsed="false"/>
    <row r="452" customFormat="false" ht="13.5" hidden="false" customHeight="true" outlineLevel="0" collapsed="false"/>
    <row r="453" customFormat="false" ht="13.5" hidden="false" customHeight="true" outlineLevel="0" collapsed="false"/>
    <row r="454" customFormat="false" ht="13.5" hidden="false" customHeight="true" outlineLevel="0" collapsed="false"/>
    <row r="455" customFormat="false" ht="13.5" hidden="false" customHeight="true" outlineLevel="0" collapsed="false"/>
    <row r="456" customFormat="false" ht="13.5" hidden="false" customHeight="true" outlineLevel="0" collapsed="false"/>
    <row r="457" customFormat="false" ht="13.5" hidden="false" customHeight="true" outlineLevel="0" collapsed="false"/>
    <row r="458" customFormat="false" ht="13.5" hidden="false" customHeight="true" outlineLevel="0" collapsed="false"/>
    <row r="459" customFormat="false" ht="13.5" hidden="false" customHeight="true" outlineLevel="0" collapsed="false"/>
    <row r="460" customFormat="false" ht="13.5" hidden="false" customHeight="true" outlineLevel="0" collapsed="false"/>
    <row r="461" customFormat="false" ht="13.5" hidden="false" customHeight="true" outlineLevel="0" collapsed="false"/>
    <row r="462" customFormat="false" ht="13.5" hidden="false" customHeight="true" outlineLevel="0" collapsed="false"/>
    <row r="463" customFormat="false" ht="13.5" hidden="false" customHeight="true" outlineLevel="0" collapsed="false"/>
    <row r="464" customFormat="false" ht="13.5" hidden="false" customHeight="true" outlineLevel="0" collapsed="false"/>
    <row r="465" customFormat="false" ht="13.5" hidden="false" customHeight="true" outlineLevel="0" collapsed="false"/>
    <row r="466" customFormat="false" ht="13.5" hidden="false" customHeight="true" outlineLevel="0" collapsed="false"/>
    <row r="467" customFormat="false" ht="13.5" hidden="false" customHeight="true" outlineLevel="0" collapsed="false"/>
    <row r="468" customFormat="false" ht="13.5" hidden="false" customHeight="true" outlineLevel="0" collapsed="false"/>
    <row r="469" customFormat="false" ht="13.5" hidden="false" customHeight="true" outlineLevel="0" collapsed="false"/>
    <row r="470" customFormat="false" ht="13.5" hidden="false" customHeight="true" outlineLevel="0" collapsed="false"/>
    <row r="471" customFormat="false" ht="13.5" hidden="false" customHeight="true" outlineLevel="0" collapsed="false"/>
    <row r="472" customFormat="false" ht="13.5" hidden="false" customHeight="true" outlineLevel="0" collapsed="false"/>
    <row r="473" customFormat="false" ht="13.5" hidden="false" customHeight="true" outlineLevel="0" collapsed="false"/>
    <row r="474" customFormat="false" ht="13.5" hidden="false" customHeight="true" outlineLevel="0" collapsed="false"/>
    <row r="475" customFormat="false" ht="13.5" hidden="false" customHeight="true" outlineLevel="0" collapsed="false"/>
    <row r="476" customFormat="false" ht="13.5" hidden="false" customHeight="true" outlineLevel="0" collapsed="false"/>
    <row r="477" customFormat="false" ht="13.5" hidden="false" customHeight="true" outlineLevel="0" collapsed="false"/>
    <row r="478" customFormat="false" ht="13.5" hidden="false" customHeight="true" outlineLevel="0" collapsed="false"/>
    <row r="479" customFormat="false" ht="13.5" hidden="false" customHeight="true" outlineLevel="0" collapsed="false"/>
    <row r="480" customFormat="false" ht="13.5" hidden="false" customHeight="true" outlineLevel="0" collapsed="false"/>
    <row r="481" customFormat="false" ht="13.5" hidden="false" customHeight="true" outlineLevel="0" collapsed="false"/>
    <row r="482" customFormat="false" ht="13.5" hidden="false" customHeight="true" outlineLevel="0" collapsed="false"/>
    <row r="483" customFormat="false" ht="13.5" hidden="false" customHeight="true" outlineLevel="0" collapsed="false"/>
    <row r="484" customFormat="false" ht="13.5" hidden="false" customHeight="true" outlineLevel="0" collapsed="false"/>
    <row r="485" customFormat="false" ht="13.5" hidden="false" customHeight="true" outlineLevel="0" collapsed="false"/>
    <row r="486" customFormat="false" ht="13.5" hidden="false" customHeight="true" outlineLevel="0" collapsed="false"/>
    <row r="487" customFormat="false" ht="13.5" hidden="false" customHeight="true" outlineLevel="0" collapsed="false"/>
    <row r="488" customFormat="false" ht="13.5" hidden="false" customHeight="true" outlineLevel="0" collapsed="false"/>
    <row r="489" customFormat="false" ht="13.5" hidden="false" customHeight="true" outlineLevel="0" collapsed="false"/>
    <row r="490" customFormat="false" ht="13.5" hidden="false" customHeight="true" outlineLevel="0" collapsed="false"/>
    <row r="491" customFormat="false" ht="13.5" hidden="false" customHeight="true" outlineLevel="0" collapsed="false"/>
    <row r="492" customFormat="false" ht="13.5" hidden="false" customHeight="true" outlineLevel="0" collapsed="false"/>
    <row r="493" customFormat="false" ht="13.5" hidden="false" customHeight="true" outlineLevel="0" collapsed="false"/>
    <row r="494" customFormat="false" ht="13.5" hidden="false" customHeight="true" outlineLevel="0" collapsed="false"/>
    <row r="495" customFormat="false" ht="13.5" hidden="false" customHeight="true" outlineLevel="0" collapsed="false"/>
    <row r="496" customFormat="false" ht="13.5" hidden="false" customHeight="true" outlineLevel="0" collapsed="false"/>
    <row r="497" customFormat="false" ht="13.5" hidden="false" customHeight="true" outlineLevel="0" collapsed="false"/>
    <row r="498" customFormat="false" ht="13.5" hidden="false" customHeight="true" outlineLevel="0" collapsed="false"/>
    <row r="499" customFormat="false" ht="13.5" hidden="false" customHeight="true" outlineLevel="0" collapsed="false"/>
    <row r="500" customFormat="false" ht="13.5" hidden="false" customHeight="true" outlineLevel="0" collapsed="false"/>
    <row r="501" customFormat="false" ht="13.5" hidden="false" customHeight="true" outlineLevel="0" collapsed="false"/>
    <row r="502" customFormat="false" ht="13.5" hidden="false" customHeight="true" outlineLevel="0" collapsed="false"/>
    <row r="503" customFormat="false" ht="13.5" hidden="false" customHeight="true" outlineLevel="0" collapsed="false"/>
    <row r="504" customFormat="false" ht="13.5" hidden="false" customHeight="true" outlineLevel="0" collapsed="false"/>
    <row r="505" customFormat="false" ht="13.5" hidden="false" customHeight="true" outlineLevel="0" collapsed="false"/>
    <row r="506" customFormat="false" ht="13.5" hidden="false" customHeight="true" outlineLevel="0" collapsed="false"/>
    <row r="507" customFormat="false" ht="13.5" hidden="false" customHeight="true" outlineLevel="0" collapsed="false"/>
    <row r="508" customFormat="false" ht="13.5" hidden="false" customHeight="true" outlineLevel="0" collapsed="false"/>
    <row r="509" customFormat="false" ht="13.5" hidden="false" customHeight="true" outlineLevel="0" collapsed="false"/>
    <row r="510" customFormat="false" ht="13.5" hidden="false" customHeight="true" outlineLevel="0" collapsed="false"/>
    <row r="511" customFormat="false" ht="13.5" hidden="false" customHeight="true" outlineLevel="0" collapsed="false"/>
    <row r="512" customFormat="false" ht="13.5" hidden="false" customHeight="true" outlineLevel="0" collapsed="false"/>
    <row r="513" customFormat="false" ht="13.5" hidden="false" customHeight="true" outlineLevel="0" collapsed="false"/>
    <row r="514" customFormat="false" ht="13.5" hidden="false" customHeight="true" outlineLevel="0" collapsed="false"/>
    <row r="515" customFormat="false" ht="13.5" hidden="false" customHeight="true" outlineLevel="0" collapsed="false"/>
    <row r="516" customFormat="false" ht="13.5" hidden="false" customHeight="true" outlineLevel="0" collapsed="false"/>
    <row r="517" customFormat="false" ht="13.5" hidden="false" customHeight="true" outlineLevel="0" collapsed="false"/>
    <row r="518" customFormat="false" ht="13.5" hidden="false" customHeight="true" outlineLevel="0" collapsed="false"/>
    <row r="519" customFormat="false" ht="13.5" hidden="false" customHeight="true" outlineLevel="0" collapsed="false"/>
    <row r="520" customFormat="false" ht="13.5" hidden="false" customHeight="true" outlineLevel="0" collapsed="false"/>
    <row r="521" customFormat="false" ht="13.5" hidden="false" customHeight="true" outlineLevel="0" collapsed="false"/>
    <row r="522" customFormat="false" ht="13.5" hidden="false" customHeight="true" outlineLevel="0" collapsed="false"/>
    <row r="523" customFormat="false" ht="13.5" hidden="false" customHeight="true" outlineLevel="0" collapsed="false"/>
    <row r="524" customFormat="false" ht="13.5" hidden="false" customHeight="true" outlineLevel="0" collapsed="false"/>
    <row r="525" customFormat="false" ht="13.5" hidden="false" customHeight="true" outlineLevel="0" collapsed="false"/>
    <row r="526" customFormat="false" ht="13.5" hidden="false" customHeight="true" outlineLevel="0" collapsed="false"/>
    <row r="527" customFormat="false" ht="13.5" hidden="false" customHeight="true" outlineLevel="0" collapsed="false"/>
    <row r="528" customFormat="false" ht="13.5" hidden="false" customHeight="true" outlineLevel="0" collapsed="false"/>
    <row r="529" customFormat="false" ht="13.5" hidden="false" customHeight="true" outlineLevel="0" collapsed="false"/>
    <row r="530" customFormat="false" ht="13.5" hidden="false" customHeight="true" outlineLevel="0" collapsed="false"/>
    <row r="531" customFormat="false" ht="13.5" hidden="false" customHeight="true" outlineLevel="0" collapsed="false"/>
    <row r="532" customFormat="false" ht="13.5" hidden="false" customHeight="true" outlineLevel="0" collapsed="false"/>
    <row r="533" customFormat="false" ht="13.5" hidden="false" customHeight="true" outlineLevel="0" collapsed="false"/>
    <row r="534" customFormat="false" ht="13.5" hidden="false" customHeight="true" outlineLevel="0" collapsed="false"/>
    <row r="535" customFormat="false" ht="13.5" hidden="false" customHeight="true" outlineLevel="0" collapsed="false"/>
    <row r="536" customFormat="false" ht="13.5" hidden="false" customHeight="true" outlineLevel="0" collapsed="false"/>
    <row r="537" customFormat="false" ht="13.5" hidden="false" customHeight="true" outlineLevel="0" collapsed="false"/>
    <row r="538" customFormat="false" ht="13.5" hidden="false" customHeight="true" outlineLevel="0" collapsed="false"/>
    <row r="539" customFormat="false" ht="13.5" hidden="false" customHeight="true" outlineLevel="0" collapsed="false"/>
    <row r="540" customFormat="false" ht="13.5" hidden="false" customHeight="true" outlineLevel="0" collapsed="false"/>
    <row r="541" customFormat="false" ht="13.5" hidden="false" customHeight="true" outlineLevel="0" collapsed="false"/>
    <row r="542" customFormat="false" ht="13.5" hidden="false" customHeight="true" outlineLevel="0" collapsed="false"/>
    <row r="543" customFormat="false" ht="13.5" hidden="false" customHeight="true" outlineLevel="0" collapsed="false"/>
    <row r="544" customFormat="false" ht="13.5" hidden="false" customHeight="true" outlineLevel="0" collapsed="false"/>
    <row r="545" customFormat="false" ht="13.5" hidden="false" customHeight="true" outlineLevel="0" collapsed="false"/>
    <row r="546" customFormat="false" ht="13.5" hidden="false" customHeight="true" outlineLevel="0" collapsed="false"/>
    <row r="547" customFormat="false" ht="13.5" hidden="false" customHeight="true" outlineLevel="0" collapsed="false"/>
    <row r="548" customFormat="false" ht="13.5" hidden="false" customHeight="true" outlineLevel="0" collapsed="false"/>
    <row r="549" customFormat="false" ht="13.5" hidden="false" customHeight="true" outlineLevel="0" collapsed="false"/>
    <row r="550" customFormat="false" ht="13.5" hidden="false" customHeight="true" outlineLevel="0" collapsed="false"/>
    <row r="551" customFormat="false" ht="13.5" hidden="false" customHeight="true" outlineLevel="0" collapsed="false"/>
    <row r="552" customFormat="false" ht="13.5" hidden="false" customHeight="true" outlineLevel="0" collapsed="false"/>
    <row r="553" customFormat="false" ht="13.5" hidden="false" customHeight="true" outlineLevel="0" collapsed="false"/>
    <row r="554" customFormat="false" ht="13.5" hidden="false" customHeight="true" outlineLevel="0" collapsed="false"/>
    <row r="555" customFormat="false" ht="13.5" hidden="false" customHeight="true" outlineLevel="0" collapsed="false"/>
    <row r="556" customFormat="false" ht="13.5" hidden="false" customHeight="true" outlineLevel="0" collapsed="false"/>
    <row r="557" customFormat="false" ht="13.5" hidden="false" customHeight="true" outlineLevel="0" collapsed="false"/>
    <row r="558" customFormat="false" ht="13.5" hidden="false" customHeight="true" outlineLevel="0" collapsed="false"/>
    <row r="559" customFormat="false" ht="13.5" hidden="false" customHeight="true" outlineLevel="0" collapsed="false"/>
    <row r="560" customFormat="false" ht="13.5" hidden="false" customHeight="true" outlineLevel="0" collapsed="false"/>
    <row r="561" customFormat="false" ht="13.5" hidden="false" customHeight="true" outlineLevel="0" collapsed="false"/>
    <row r="562" customFormat="false" ht="13.5" hidden="false" customHeight="true" outlineLevel="0" collapsed="false"/>
    <row r="563" customFormat="false" ht="13.5" hidden="false" customHeight="true" outlineLevel="0" collapsed="false"/>
    <row r="564" customFormat="false" ht="13.5" hidden="false" customHeight="true" outlineLevel="0" collapsed="false"/>
    <row r="565" customFormat="false" ht="13.5" hidden="false" customHeight="true" outlineLevel="0" collapsed="false"/>
    <row r="566" customFormat="false" ht="13.5" hidden="false" customHeight="true" outlineLevel="0" collapsed="false"/>
    <row r="567" customFormat="false" ht="13.5" hidden="false" customHeight="true" outlineLevel="0" collapsed="false"/>
    <row r="568" customFormat="false" ht="13.5" hidden="false" customHeight="true" outlineLevel="0" collapsed="false"/>
    <row r="569" customFormat="false" ht="13.5" hidden="false" customHeight="true" outlineLevel="0" collapsed="false"/>
    <row r="570" customFormat="false" ht="13.5" hidden="false" customHeight="true" outlineLevel="0" collapsed="false"/>
    <row r="571" customFormat="false" ht="13.5" hidden="false" customHeight="true" outlineLevel="0" collapsed="false"/>
    <row r="572" customFormat="false" ht="13.5" hidden="false" customHeight="true" outlineLevel="0" collapsed="false"/>
    <row r="573" customFormat="false" ht="13.5" hidden="false" customHeight="true" outlineLevel="0" collapsed="false"/>
    <row r="574" customFormat="false" ht="13.5" hidden="false" customHeight="true" outlineLevel="0" collapsed="false"/>
    <row r="575" customFormat="false" ht="13.5" hidden="false" customHeight="true" outlineLevel="0" collapsed="false"/>
    <row r="576" customFormat="false" ht="13.5" hidden="false" customHeight="true" outlineLevel="0" collapsed="false"/>
    <row r="577" customFormat="false" ht="13.5" hidden="false" customHeight="true" outlineLevel="0" collapsed="false"/>
    <row r="578" customFormat="false" ht="13.5" hidden="false" customHeight="true" outlineLevel="0" collapsed="false"/>
    <row r="579" customFormat="false" ht="13.5" hidden="false" customHeight="true" outlineLevel="0" collapsed="false"/>
    <row r="580" customFormat="false" ht="13.5" hidden="false" customHeight="true" outlineLevel="0" collapsed="false"/>
    <row r="581" customFormat="false" ht="13.5" hidden="false" customHeight="true" outlineLevel="0" collapsed="false"/>
    <row r="582" customFormat="false" ht="13.5" hidden="false" customHeight="true" outlineLevel="0" collapsed="false"/>
    <row r="583" customFormat="false" ht="13.5" hidden="false" customHeight="true" outlineLevel="0" collapsed="false"/>
    <row r="584" customFormat="false" ht="13.5" hidden="false" customHeight="true" outlineLevel="0" collapsed="false"/>
    <row r="585" customFormat="false" ht="13.5" hidden="false" customHeight="true" outlineLevel="0" collapsed="false"/>
    <row r="586" customFormat="false" ht="13.5" hidden="false" customHeight="true" outlineLevel="0" collapsed="false"/>
    <row r="587" customFormat="false" ht="13.5" hidden="false" customHeight="true" outlineLevel="0" collapsed="false"/>
    <row r="588" customFormat="false" ht="13.5" hidden="false" customHeight="true" outlineLevel="0" collapsed="false"/>
    <row r="589" customFormat="false" ht="13.5" hidden="false" customHeight="true" outlineLevel="0" collapsed="false"/>
    <row r="590" customFormat="false" ht="13.5" hidden="false" customHeight="true" outlineLevel="0" collapsed="false"/>
    <row r="591" customFormat="false" ht="13.5" hidden="false" customHeight="true" outlineLevel="0" collapsed="false"/>
    <row r="592" customFormat="false" ht="13.5" hidden="false" customHeight="true" outlineLevel="0" collapsed="false"/>
    <row r="593" customFormat="false" ht="13.5" hidden="false" customHeight="true" outlineLevel="0" collapsed="false"/>
    <row r="594" customFormat="false" ht="13.5" hidden="false" customHeight="true" outlineLevel="0" collapsed="false"/>
    <row r="595" customFormat="false" ht="13.5" hidden="false" customHeight="true" outlineLevel="0" collapsed="false"/>
    <row r="596" customFormat="false" ht="13.5" hidden="false" customHeight="true" outlineLevel="0" collapsed="false"/>
    <row r="597" customFormat="false" ht="13.5" hidden="false" customHeight="true" outlineLevel="0" collapsed="false"/>
    <row r="598" customFormat="false" ht="13.5" hidden="false" customHeight="true" outlineLevel="0" collapsed="false"/>
    <row r="599" customFormat="false" ht="13.5" hidden="false" customHeight="true" outlineLevel="0" collapsed="false"/>
    <row r="600" customFormat="false" ht="13.5" hidden="false" customHeight="true" outlineLevel="0" collapsed="false"/>
    <row r="601" customFormat="false" ht="13.5" hidden="false" customHeight="true" outlineLevel="0" collapsed="false"/>
    <row r="602" customFormat="false" ht="13.5" hidden="false" customHeight="true" outlineLevel="0" collapsed="false"/>
    <row r="603" customFormat="false" ht="13.5" hidden="false" customHeight="true" outlineLevel="0" collapsed="false"/>
    <row r="604" customFormat="false" ht="13.5" hidden="false" customHeight="true" outlineLevel="0" collapsed="false"/>
    <row r="605" customFormat="false" ht="13.5" hidden="false" customHeight="true" outlineLevel="0" collapsed="false"/>
    <row r="606" customFormat="false" ht="13.5" hidden="false" customHeight="true" outlineLevel="0" collapsed="false"/>
    <row r="607" customFormat="false" ht="13.5" hidden="false" customHeight="true" outlineLevel="0" collapsed="false"/>
    <row r="608" customFormat="false" ht="13.5" hidden="false" customHeight="true" outlineLevel="0" collapsed="false"/>
    <row r="609" customFormat="false" ht="13.5" hidden="false" customHeight="true" outlineLevel="0" collapsed="false"/>
    <row r="610" customFormat="false" ht="13.5" hidden="false" customHeight="true" outlineLevel="0" collapsed="false"/>
    <row r="611" customFormat="false" ht="13.5" hidden="false" customHeight="true" outlineLevel="0" collapsed="false"/>
    <row r="612" customFormat="false" ht="13.5" hidden="false" customHeight="true" outlineLevel="0" collapsed="false"/>
    <row r="613" customFormat="false" ht="13.5" hidden="false" customHeight="true" outlineLevel="0" collapsed="false"/>
    <row r="614" customFormat="false" ht="13.5" hidden="false" customHeight="true" outlineLevel="0" collapsed="false"/>
    <row r="615" customFormat="false" ht="13.5" hidden="false" customHeight="true" outlineLevel="0" collapsed="false"/>
    <row r="616" customFormat="false" ht="13.5" hidden="false" customHeight="true" outlineLevel="0" collapsed="false"/>
    <row r="617" customFormat="false" ht="13.5" hidden="false" customHeight="true" outlineLevel="0" collapsed="false"/>
    <row r="618" customFormat="false" ht="13.5" hidden="false" customHeight="true" outlineLevel="0" collapsed="false"/>
    <row r="619" customFormat="false" ht="13.5" hidden="false" customHeight="true" outlineLevel="0" collapsed="false"/>
    <row r="620" customFormat="false" ht="13.5" hidden="false" customHeight="true" outlineLevel="0" collapsed="false"/>
    <row r="621" customFormat="false" ht="13.5" hidden="false" customHeight="true" outlineLevel="0" collapsed="false"/>
    <row r="622" customFormat="false" ht="13.5" hidden="false" customHeight="true" outlineLevel="0" collapsed="false"/>
    <row r="623" customFormat="false" ht="13.5" hidden="false" customHeight="true" outlineLevel="0" collapsed="false"/>
    <row r="624" customFormat="false" ht="13.5" hidden="false" customHeight="true" outlineLevel="0" collapsed="false"/>
    <row r="625" customFormat="false" ht="13.5" hidden="false" customHeight="true" outlineLevel="0" collapsed="false"/>
    <row r="626" customFormat="false" ht="13.5" hidden="false" customHeight="true" outlineLevel="0" collapsed="false"/>
    <row r="627" customFormat="false" ht="13.5" hidden="false" customHeight="true" outlineLevel="0" collapsed="false"/>
    <row r="628" customFormat="false" ht="13.5" hidden="false" customHeight="true" outlineLevel="0" collapsed="false"/>
    <row r="629" customFormat="false" ht="13.5" hidden="false" customHeight="true" outlineLevel="0" collapsed="false"/>
    <row r="630" customFormat="false" ht="13.5" hidden="false" customHeight="true" outlineLevel="0" collapsed="false"/>
    <row r="631" customFormat="false" ht="13.5" hidden="false" customHeight="true" outlineLevel="0" collapsed="false"/>
    <row r="632" customFormat="false" ht="13.5" hidden="false" customHeight="true" outlineLevel="0" collapsed="false"/>
    <row r="633" customFormat="false" ht="13.5" hidden="false" customHeight="true" outlineLevel="0" collapsed="false"/>
    <row r="634" customFormat="false" ht="13.5" hidden="false" customHeight="true" outlineLevel="0" collapsed="false"/>
    <row r="635" customFormat="false" ht="13.5" hidden="false" customHeight="true" outlineLevel="0" collapsed="false"/>
    <row r="636" customFormat="false" ht="13.5" hidden="false" customHeight="true" outlineLevel="0" collapsed="false"/>
    <row r="637" customFormat="false" ht="13.5" hidden="false" customHeight="true" outlineLevel="0" collapsed="false"/>
    <row r="638" customFormat="false" ht="13.5" hidden="false" customHeight="true" outlineLevel="0" collapsed="false"/>
    <row r="639" customFormat="false" ht="13.5" hidden="false" customHeight="true" outlineLevel="0" collapsed="false"/>
    <row r="640" customFormat="false" ht="13.5" hidden="false" customHeight="true" outlineLevel="0" collapsed="false"/>
    <row r="641" customFormat="false" ht="13.5" hidden="false" customHeight="true" outlineLevel="0" collapsed="false"/>
    <row r="642" customFormat="false" ht="13.5" hidden="false" customHeight="true" outlineLevel="0" collapsed="false"/>
    <row r="643" customFormat="false" ht="13.5" hidden="false" customHeight="true" outlineLevel="0" collapsed="false"/>
    <row r="644" customFormat="false" ht="13.5" hidden="false" customHeight="true" outlineLevel="0" collapsed="false"/>
    <row r="645" customFormat="false" ht="13.5" hidden="false" customHeight="true" outlineLevel="0" collapsed="false"/>
    <row r="646" customFormat="false" ht="13.5" hidden="false" customHeight="true" outlineLevel="0" collapsed="false"/>
    <row r="647" customFormat="false" ht="13.5" hidden="false" customHeight="true" outlineLevel="0" collapsed="false"/>
    <row r="648" customFormat="false" ht="13.5" hidden="false" customHeight="true" outlineLevel="0" collapsed="false"/>
    <row r="649" customFormat="false" ht="13.5" hidden="false" customHeight="true" outlineLevel="0" collapsed="false"/>
    <row r="650" customFormat="false" ht="13.5" hidden="false" customHeight="true" outlineLevel="0" collapsed="false"/>
    <row r="651" customFormat="false" ht="13.5" hidden="false" customHeight="true" outlineLevel="0" collapsed="false"/>
    <row r="652" customFormat="false" ht="13.5" hidden="false" customHeight="true" outlineLevel="0" collapsed="false"/>
    <row r="653" customFormat="false" ht="13.5" hidden="false" customHeight="true" outlineLevel="0" collapsed="false"/>
    <row r="654" customFormat="false" ht="13.5" hidden="false" customHeight="true" outlineLevel="0" collapsed="false"/>
    <row r="655" customFormat="false" ht="13.5" hidden="false" customHeight="true" outlineLevel="0" collapsed="false"/>
    <row r="656" customFormat="false" ht="13.5" hidden="false" customHeight="true" outlineLevel="0" collapsed="false"/>
    <row r="657" customFormat="false" ht="13.5" hidden="false" customHeight="true" outlineLevel="0" collapsed="false"/>
    <row r="658" customFormat="false" ht="13.5" hidden="false" customHeight="true" outlineLevel="0" collapsed="false"/>
    <row r="659" customFormat="false" ht="13.5" hidden="false" customHeight="true" outlineLevel="0" collapsed="false"/>
    <row r="660" customFormat="false" ht="13.5" hidden="false" customHeight="true" outlineLevel="0" collapsed="false"/>
    <row r="661" customFormat="false" ht="13.5" hidden="false" customHeight="true" outlineLevel="0" collapsed="false"/>
    <row r="662" customFormat="false" ht="13.5" hidden="false" customHeight="true" outlineLevel="0" collapsed="false"/>
    <row r="663" customFormat="false" ht="13.5" hidden="false" customHeight="true" outlineLevel="0" collapsed="false"/>
    <row r="664" customFormat="false" ht="13.5" hidden="false" customHeight="true" outlineLevel="0" collapsed="false"/>
    <row r="665" customFormat="false" ht="13.5" hidden="false" customHeight="true" outlineLevel="0" collapsed="false"/>
    <row r="666" customFormat="false" ht="13.5" hidden="false" customHeight="true" outlineLevel="0" collapsed="false"/>
    <row r="667" customFormat="false" ht="13.5" hidden="false" customHeight="true" outlineLevel="0" collapsed="false"/>
    <row r="668" customFormat="false" ht="13.5" hidden="false" customHeight="true" outlineLevel="0" collapsed="false"/>
    <row r="669" customFormat="false" ht="13.5" hidden="false" customHeight="true" outlineLevel="0" collapsed="false"/>
    <row r="670" customFormat="false" ht="13.5" hidden="false" customHeight="true" outlineLevel="0" collapsed="false"/>
    <row r="671" customFormat="false" ht="13.5" hidden="false" customHeight="true" outlineLevel="0" collapsed="false"/>
    <row r="672" customFormat="false" ht="13.5" hidden="false" customHeight="true" outlineLevel="0" collapsed="false"/>
    <row r="673" customFormat="false" ht="13.5" hidden="false" customHeight="true" outlineLevel="0" collapsed="false"/>
    <row r="674" customFormat="false" ht="13.5" hidden="false" customHeight="true" outlineLevel="0" collapsed="false"/>
    <row r="675" customFormat="false" ht="13.5" hidden="false" customHeight="true" outlineLevel="0" collapsed="false"/>
    <row r="676" customFormat="false" ht="13.5" hidden="false" customHeight="true" outlineLevel="0" collapsed="false"/>
    <row r="677" customFormat="false" ht="13.5" hidden="false" customHeight="true" outlineLevel="0" collapsed="false"/>
    <row r="678" customFormat="false" ht="13.5" hidden="false" customHeight="true" outlineLevel="0" collapsed="false"/>
    <row r="679" customFormat="false" ht="13.5" hidden="false" customHeight="true" outlineLevel="0" collapsed="false"/>
    <row r="680" customFormat="false" ht="13.5" hidden="false" customHeight="true" outlineLevel="0" collapsed="false"/>
    <row r="681" customFormat="false" ht="13.5" hidden="false" customHeight="true" outlineLevel="0" collapsed="false"/>
    <row r="682" customFormat="false" ht="13.5" hidden="false" customHeight="true" outlineLevel="0" collapsed="false"/>
    <row r="683" customFormat="false" ht="13.5" hidden="false" customHeight="true" outlineLevel="0" collapsed="false"/>
    <row r="684" customFormat="false" ht="13.5" hidden="false" customHeight="true" outlineLevel="0" collapsed="false"/>
    <row r="685" customFormat="false" ht="13.5" hidden="false" customHeight="true" outlineLevel="0" collapsed="false"/>
    <row r="686" customFormat="false" ht="13.5" hidden="false" customHeight="true" outlineLevel="0" collapsed="false"/>
    <row r="687" customFormat="false" ht="13.5" hidden="false" customHeight="true" outlineLevel="0" collapsed="false"/>
    <row r="688" customFormat="false" ht="13.5" hidden="false" customHeight="true" outlineLevel="0" collapsed="false"/>
    <row r="689" customFormat="false" ht="13.5" hidden="false" customHeight="true" outlineLevel="0" collapsed="false"/>
    <row r="690" customFormat="false" ht="13.5" hidden="false" customHeight="true" outlineLevel="0" collapsed="false"/>
    <row r="691" customFormat="false" ht="13.5" hidden="false" customHeight="true" outlineLevel="0" collapsed="false"/>
    <row r="692" customFormat="false" ht="13.5" hidden="false" customHeight="true" outlineLevel="0" collapsed="false"/>
    <row r="693" customFormat="false" ht="13.5" hidden="false" customHeight="true" outlineLevel="0" collapsed="false"/>
    <row r="694" customFormat="false" ht="13.5" hidden="false" customHeight="true" outlineLevel="0" collapsed="false"/>
    <row r="695" customFormat="false" ht="13.5" hidden="false" customHeight="true" outlineLevel="0" collapsed="false"/>
    <row r="696" customFormat="false" ht="13.5" hidden="false" customHeight="true" outlineLevel="0" collapsed="false"/>
    <row r="697" customFormat="false" ht="13.5" hidden="false" customHeight="true" outlineLevel="0" collapsed="false"/>
    <row r="698" customFormat="false" ht="13.5" hidden="false" customHeight="true" outlineLevel="0" collapsed="false"/>
    <row r="699" customFormat="false" ht="13.5" hidden="false" customHeight="true" outlineLevel="0" collapsed="false"/>
    <row r="700" customFormat="false" ht="13.5" hidden="false" customHeight="true" outlineLevel="0" collapsed="false"/>
    <row r="701" customFormat="false" ht="13.5" hidden="false" customHeight="true" outlineLevel="0" collapsed="false"/>
    <row r="702" customFormat="false" ht="13.5" hidden="false" customHeight="true" outlineLevel="0" collapsed="false"/>
    <row r="703" customFormat="false" ht="13.5" hidden="false" customHeight="true" outlineLevel="0" collapsed="false"/>
    <row r="704" customFormat="false" ht="13.5" hidden="false" customHeight="true" outlineLevel="0" collapsed="false"/>
    <row r="705" customFormat="false" ht="13.5" hidden="false" customHeight="true" outlineLevel="0" collapsed="false"/>
    <row r="706" customFormat="false" ht="13.5" hidden="false" customHeight="true" outlineLevel="0" collapsed="false"/>
    <row r="707" customFormat="false" ht="13.5" hidden="false" customHeight="true" outlineLevel="0" collapsed="false"/>
    <row r="708" customFormat="false" ht="13.5" hidden="false" customHeight="true" outlineLevel="0" collapsed="false"/>
    <row r="709" customFormat="false" ht="13.5" hidden="false" customHeight="true" outlineLevel="0" collapsed="false"/>
    <row r="710" customFormat="false" ht="13.5" hidden="false" customHeight="true" outlineLevel="0" collapsed="false"/>
    <row r="711" customFormat="false" ht="13.5" hidden="false" customHeight="true" outlineLevel="0" collapsed="false"/>
    <row r="712" customFormat="false" ht="13.5" hidden="false" customHeight="true" outlineLevel="0" collapsed="false"/>
    <row r="713" customFormat="false" ht="13.5" hidden="false" customHeight="true" outlineLevel="0" collapsed="false"/>
    <row r="714" customFormat="false" ht="13.5" hidden="false" customHeight="true" outlineLevel="0" collapsed="false"/>
    <row r="715" customFormat="false" ht="13.5" hidden="false" customHeight="true" outlineLevel="0" collapsed="false"/>
    <row r="716" customFormat="false" ht="13.5" hidden="false" customHeight="true" outlineLevel="0" collapsed="false"/>
    <row r="717" customFormat="false" ht="13.5" hidden="false" customHeight="true" outlineLevel="0" collapsed="false"/>
    <row r="718" customFormat="false" ht="13.5" hidden="false" customHeight="true" outlineLevel="0" collapsed="false"/>
    <row r="719" customFormat="false" ht="13.5" hidden="false" customHeight="true" outlineLevel="0" collapsed="false"/>
    <row r="720" customFormat="false" ht="13.5" hidden="false" customHeight="true" outlineLevel="0" collapsed="false"/>
    <row r="721" customFormat="false" ht="13.5" hidden="false" customHeight="true" outlineLevel="0" collapsed="false"/>
    <row r="722" customFormat="false" ht="13.5" hidden="false" customHeight="true" outlineLevel="0" collapsed="false"/>
    <row r="723" customFormat="false" ht="13.5" hidden="false" customHeight="true" outlineLevel="0" collapsed="false"/>
    <row r="724" customFormat="false" ht="13.5" hidden="false" customHeight="true" outlineLevel="0" collapsed="false"/>
    <row r="725" customFormat="false" ht="13.5" hidden="false" customHeight="true" outlineLevel="0" collapsed="false"/>
    <row r="726" customFormat="false" ht="13.5" hidden="false" customHeight="true" outlineLevel="0" collapsed="false"/>
    <row r="727" customFormat="false" ht="13.5" hidden="false" customHeight="true" outlineLevel="0" collapsed="false"/>
    <row r="728" customFormat="false" ht="13.5" hidden="false" customHeight="true" outlineLevel="0" collapsed="false"/>
    <row r="729" customFormat="false" ht="13.5" hidden="false" customHeight="true" outlineLevel="0" collapsed="false"/>
    <row r="730" customFormat="false" ht="13.5" hidden="false" customHeight="true" outlineLevel="0" collapsed="false"/>
    <row r="731" customFormat="false" ht="13.5" hidden="false" customHeight="true" outlineLevel="0" collapsed="false"/>
    <row r="732" customFormat="false" ht="13.5" hidden="false" customHeight="true" outlineLevel="0" collapsed="false"/>
    <row r="733" customFormat="false" ht="13.5" hidden="false" customHeight="true" outlineLevel="0" collapsed="false"/>
    <row r="734" customFormat="false" ht="13.5" hidden="false" customHeight="true" outlineLevel="0" collapsed="false"/>
    <row r="735" customFormat="false" ht="13.5" hidden="false" customHeight="true" outlineLevel="0" collapsed="false"/>
    <row r="736" customFormat="false" ht="13.5" hidden="false" customHeight="true" outlineLevel="0" collapsed="false"/>
    <row r="737" customFormat="false" ht="13.5" hidden="false" customHeight="true" outlineLevel="0" collapsed="false"/>
    <row r="738" customFormat="false" ht="13.5" hidden="false" customHeight="true" outlineLevel="0" collapsed="false"/>
    <row r="739" customFormat="false" ht="13.5" hidden="false" customHeight="true" outlineLevel="0" collapsed="false"/>
    <row r="740" customFormat="false" ht="13.5" hidden="false" customHeight="true" outlineLevel="0" collapsed="false"/>
    <row r="741" customFormat="false" ht="13.5" hidden="false" customHeight="true" outlineLevel="0" collapsed="false"/>
    <row r="742" customFormat="false" ht="13.5" hidden="false" customHeight="true" outlineLevel="0" collapsed="false"/>
    <row r="743" customFormat="false" ht="13.5" hidden="false" customHeight="true" outlineLevel="0" collapsed="false"/>
    <row r="744" customFormat="false" ht="13.5" hidden="false" customHeight="true" outlineLevel="0" collapsed="false"/>
    <row r="745" customFormat="false" ht="13.5" hidden="false" customHeight="true" outlineLevel="0" collapsed="false"/>
    <row r="746" customFormat="false" ht="13.5" hidden="false" customHeight="true" outlineLevel="0" collapsed="false"/>
    <row r="747" customFormat="false" ht="13.5" hidden="false" customHeight="true" outlineLevel="0" collapsed="false"/>
    <row r="748" customFormat="false" ht="13.5" hidden="false" customHeight="true" outlineLevel="0" collapsed="false"/>
    <row r="749" customFormat="false" ht="13.5" hidden="false" customHeight="true" outlineLevel="0" collapsed="false"/>
    <row r="750" customFormat="false" ht="13.5" hidden="false" customHeight="true" outlineLevel="0" collapsed="false"/>
    <row r="751" customFormat="false" ht="13.5" hidden="false" customHeight="true" outlineLevel="0" collapsed="false"/>
    <row r="752" customFormat="false" ht="13.5" hidden="false" customHeight="true" outlineLevel="0" collapsed="false"/>
    <row r="753" customFormat="false" ht="13.5" hidden="false" customHeight="true" outlineLevel="0" collapsed="false"/>
    <row r="754" customFormat="false" ht="13.5" hidden="false" customHeight="true" outlineLevel="0" collapsed="false"/>
    <row r="755" customFormat="false" ht="13.5" hidden="false" customHeight="true" outlineLevel="0" collapsed="false"/>
    <row r="756" customFormat="false" ht="13.5" hidden="false" customHeight="true" outlineLevel="0" collapsed="false"/>
    <row r="757" customFormat="false" ht="13.5" hidden="false" customHeight="true" outlineLevel="0" collapsed="false"/>
    <row r="758" customFormat="false" ht="13.5" hidden="false" customHeight="true" outlineLevel="0" collapsed="false"/>
    <row r="759" customFormat="false" ht="13.5" hidden="false" customHeight="true" outlineLevel="0" collapsed="false"/>
    <row r="760" customFormat="false" ht="13.5" hidden="false" customHeight="true" outlineLevel="0" collapsed="false"/>
    <row r="761" customFormat="false" ht="13.5" hidden="false" customHeight="true" outlineLevel="0" collapsed="false"/>
    <row r="762" customFormat="false" ht="13.5" hidden="false" customHeight="true" outlineLevel="0" collapsed="false"/>
    <row r="763" customFormat="false" ht="13.5" hidden="false" customHeight="true" outlineLevel="0" collapsed="false"/>
    <row r="764" customFormat="false" ht="13.5" hidden="false" customHeight="true" outlineLevel="0" collapsed="false"/>
    <row r="765" customFormat="false" ht="13.5" hidden="false" customHeight="true" outlineLevel="0" collapsed="false"/>
    <row r="766" customFormat="false" ht="13.5" hidden="false" customHeight="true" outlineLevel="0" collapsed="false"/>
    <row r="767" customFormat="false" ht="13.5" hidden="false" customHeight="true" outlineLevel="0" collapsed="false"/>
    <row r="768" customFormat="false" ht="13.5" hidden="false" customHeight="true" outlineLevel="0" collapsed="false"/>
    <row r="769" customFormat="false" ht="13.5" hidden="false" customHeight="true" outlineLevel="0" collapsed="false"/>
    <row r="770" customFormat="false" ht="13.5" hidden="false" customHeight="true" outlineLevel="0" collapsed="false"/>
    <row r="771" customFormat="false" ht="13.5" hidden="false" customHeight="true" outlineLevel="0" collapsed="false"/>
    <row r="772" customFormat="false" ht="13.5" hidden="false" customHeight="true" outlineLevel="0" collapsed="false"/>
    <row r="773" customFormat="false" ht="13.5" hidden="false" customHeight="true" outlineLevel="0" collapsed="false"/>
    <row r="774" customFormat="false" ht="13.5" hidden="false" customHeight="true" outlineLevel="0" collapsed="false"/>
    <row r="775" customFormat="false" ht="13.5" hidden="false" customHeight="true" outlineLevel="0" collapsed="false"/>
    <row r="776" customFormat="false" ht="13.5" hidden="false" customHeight="true" outlineLevel="0" collapsed="false"/>
    <row r="777" customFormat="false" ht="13.5" hidden="false" customHeight="true" outlineLevel="0" collapsed="false"/>
    <row r="778" customFormat="false" ht="13.5" hidden="false" customHeight="true" outlineLevel="0" collapsed="false"/>
    <row r="779" customFormat="false" ht="13.5" hidden="false" customHeight="true" outlineLevel="0" collapsed="false"/>
    <row r="780" customFormat="false" ht="13.5" hidden="false" customHeight="true" outlineLevel="0" collapsed="false"/>
    <row r="781" customFormat="false" ht="13.5" hidden="false" customHeight="true" outlineLevel="0" collapsed="false"/>
    <row r="782" customFormat="false" ht="13.5" hidden="false" customHeight="true" outlineLevel="0" collapsed="false"/>
    <row r="783" customFormat="false" ht="13.5" hidden="false" customHeight="true" outlineLevel="0" collapsed="false"/>
    <row r="784" customFormat="false" ht="13.5" hidden="false" customHeight="true" outlineLevel="0" collapsed="false"/>
    <row r="785" customFormat="false" ht="13.5" hidden="false" customHeight="true" outlineLevel="0" collapsed="false"/>
    <row r="786" customFormat="false" ht="13.5" hidden="false" customHeight="true" outlineLevel="0" collapsed="false"/>
    <row r="787" customFormat="false" ht="13.5" hidden="false" customHeight="true" outlineLevel="0" collapsed="false"/>
    <row r="788" customFormat="false" ht="13.5" hidden="false" customHeight="true" outlineLevel="0" collapsed="false"/>
    <row r="789" customFormat="false" ht="13.5" hidden="false" customHeight="true" outlineLevel="0" collapsed="false"/>
    <row r="790" customFormat="false" ht="13.5" hidden="false" customHeight="true" outlineLevel="0" collapsed="false"/>
    <row r="791" customFormat="false" ht="13.5" hidden="false" customHeight="true" outlineLevel="0" collapsed="false"/>
    <row r="792" customFormat="false" ht="13.5" hidden="false" customHeight="true" outlineLevel="0" collapsed="false"/>
    <row r="793" customFormat="false" ht="13.5" hidden="false" customHeight="true" outlineLevel="0" collapsed="false"/>
    <row r="794" customFormat="false" ht="13.5" hidden="false" customHeight="true" outlineLevel="0" collapsed="false"/>
    <row r="795" customFormat="false" ht="13.5" hidden="false" customHeight="true" outlineLevel="0" collapsed="false"/>
    <row r="796" customFormat="false" ht="13.5" hidden="false" customHeight="true" outlineLevel="0" collapsed="false"/>
    <row r="797" customFormat="false" ht="13.5" hidden="false" customHeight="true" outlineLevel="0" collapsed="false"/>
    <row r="798" customFormat="false" ht="13.5" hidden="false" customHeight="true" outlineLevel="0" collapsed="false"/>
    <row r="799" customFormat="false" ht="13.5" hidden="false" customHeight="true" outlineLevel="0" collapsed="false"/>
    <row r="800" customFormat="false" ht="13.5" hidden="false" customHeight="true" outlineLevel="0" collapsed="false"/>
    <row r="801" customFormat="false" ht="13.5" hidden="false" customHeight="true" outlineLevel="0" collapsed="false"/>
    <row r="802" customFormat="false" ht="13.5" hidden="false" customHeight="true" outlineLevel="0" collapsed="false"/>
    <row r="803" customFormat="false" ht="13.5" hidden="false" customHeight="true" outlineLevel="0" collapsed="false"/>
    <row r="804" customFormat="false" ht="13.5" hidden="false" customHeight="true" outlineLevel="0" collapsed="false"/>
    <row r="805" customFormat="false" ht="13.5" hidden="false" customHeight="true" outlineLevel="0" collapsed="false"/>
    <row r="806" customFormat="false" ht="13.5" hidden="false" customHeight="true" outlineLevel="0" collapsed="false"/>
    <row r="807" customFormat="false" ht="13.5" hidden="false" customHeight="true" outlineLevel="0" collapsed="false"/>
    <row r="808" customFormat="false" ht="13.5" hidden="false" customHeight="true" outlineLevel="0" collapsed="false"/>
    <row r="809" customFormat="false" ht="13.5" hidden="false" customHeight="true" outlineLevel="0" collapsed="false"/>
    <row r="810" customFormat="false" ht="13.5" hidden="false" customHeight="true" outlineLevel="0" collapsed="false"/>
    <row r="811" customFormat="false" ht="13.5" hidden="false" customHeight="true" outlineLevel="0" collapsed="false"/>
    <row r="812" customFormat="false" ht="13.5" hidden="false" customHeight="true" outlineLevel="0" collapsed="false"/>
    <row r="813" customFormat="false" ht="13.5" hidden="false" customHeight="true" outlineLevel="0" collapsed="false"/>
    <row r="814" customFormat="false" ht="13.5" hidden="false" customHeight="true" outlineLevel="0" collapsed="false"/>
    <row r="815" customFormat="false" ht="13.5" hidden="false" customHeight="true" outlineLevel="0" collapsed="false"/>
    <row r="816" customFormat="false" ht="13.5" hidden="false" customHeight="true" outlineLevel="0" collapsed="false"/>
    <row r="817" customFormat="false" ht="13.5" hidden="false" customHeight="true" outlineLevel="0" collapsed="false"/>
    <row r="818" customFormat="false" ht="13.5" hidden="false" customHeight="true" outlineLevel="0" collapsed="false"/>
    <row r="819" customFormat="false" ht="13.5" hidden="false" customHeight="true" outlineLevel="0" collapsed="false"/>
    <row r="820" customFormat="false" ht="13.5" hidden="false" customHeight="true" outlineLevel="0" collapsed="false"/>
    <row r="821" customFormat="false" ht="13.5" hidden="false" customHeight="true" outlineLevel="0" collapsed="false"/>
    <row r="822" customFormat="false" ht="13.5" hidden="false" customHeight="true" outlineLevel="0" collapsed="false"/>
    <row r="823" customFormat="false" ht="13.5" hidden="false" customHeight="true" outlineLevel="0" collapsed="false"/>
    <row r="824" customFormat="false" ht="13.5" hidden="false" customHeight="true" outlineLevel="0" collapsed="false"/>
    <row r="825" customFormat="false" ht="13.5" hidden="false" customHeight="true" outlineLevel="0" collapsed="false"/>
    <row r="826" customFormat="false" ht="13.5" hidden="false" customHeight="true" outlineLevel="0" collapsed="false"/>
    <row r="827" customFormat="false" ht="13.5" hidden="false" customHeight="true" outlineLevel="0" collapsed="false"/>
    <row r="828" customFormat="false" ht="13.5" hidden="false" customHeight="true" outlineLevel="0" collapsed="false"/>
    <row r="829" customFormat="false" ht="13.5" hidden="false" customHeight="true" outlineLevel="0" collapsed="false"/>
    <row r="830" customFormat="false" ht="13.5" hidden="false" customHeight="true" outlineLevel="0" collapsed="false"/>
    <row r="831" customFormat="false" ht="13.5" hidden="false" customHeight="true" outlineLevel="0" collapsed="false"/>
    <row r="832" customFormat="false" ht="13.5" hidden="false" customHeight="true" outlineLevel="0" collapsed="false"/>
    <row r="833" customFormat="false" ht="13.5" hidden="false" customHeight="true" outlineLevel="0" collapsed="false"/>
    <row r="834" customFormat="false" ht="13.5" hidden="false" customHeight="true" outlineLevel="0" collapsed="false"/>
    <row r="835" customFormat="false" ht="13.5" hidden="false" customHeight="true" outlineLevel="0" collapsed="false"/>
    <row r="836" customFormat="false" ht="13.5" hidden="false" customHeight="true" outlineLevel="0" collapsed="false"/>
    <row r="837" customFormat="false" ht="13.5" hidden="false" customHeight="true" outlineLevel="0" collapsed="false"/>
    <row r="838" customFormat="false" ht="13.5" hidden="false" customHeight="true" outlineLevel="0" collapsed="false"/>
    <row r="839" customFormat="false" ht="13.5" hidden="false" customHeight="true" outlineLevel="0" collapsed="false"/>
    <row r="840" customFormat="false" ht="13.5" hidden="false" customHeight="true" outlineLevel="0" collapsed="false"/>
    <row r="841" customFormat="false" ht="13.5" hidden="false" customHeight="true" outlineLevel="0" collapsed="false"/>
    <row r="842" customFormat="false" ht="13.5" hidden="false" customHeight="true" outlineLevel="0" collapsed="false"/>
    <row r="843" customFormat="false" ht="13.5" hidden="false" customHeight="true" outlineLevel="0" collapsed="false"/>
    <row r="844" customFormat="false" ht="13.5" hidden="false" customHeight="true" outlineLevel="0" collapsed="false"/>
    <row r="845" customFormat="false" ht="13.5" hidden="false" customHeight="true" outlineLevel="0" collapsed="false"/>
    <row r="846" customFormat="false" ht="13.5" hidden="false" customHeight="true" outlineLevel="0" collapsed="false"/>
    <row r="847" customFormat="false" ht="13.5" hidden="false" customHeight="true" outlineLevel="0" collapsed="false"/>
    <row r="848" customFormat="false" ht="13.5" hidden="false" customHeight="true" outlineLevel="0" collapsed="false"/>
    <row r="849" customFormat="false" ht="13.5" hidden="false" customHeight="true" outlineLevel="0" collapsed="false"/>
    <row r="850" customFormat="false" ht="13.5" hidden="false" customHeight="true" outlineLevel="0" collapsed="false"/>
    <row r="851" customFormat="false" ht="13.5" hidden="false" customHeight="true" outlineLevel="0" collapsed="false"/>
    <row r="852" customFormat="false" ht="13.5" hidden="false" customHeight="true" outlineLevel="0" collapsed="false"/>
    <row r="853" customFormat="false" ht="13.5" hidden="false" customHeight="true" outlineLevel="0" collapsed="false"/>
    <row r="854" customFormat="false" ht="13.5" hidden="false" customHeight="true" outlineLevel="0" collapsed="false"/>
    <row r="855" customFormat="false" ht="13.5" hidden="false" customHeight="true" outlineLevel="0" collapsed="false"/>
    <row r="856" customFormat="false" ht="13.5" hidden="false" customHeight="true" outlineLevel="0" collapsed="false"/>
    <row r="857" customFormat="false" ht="13.5" hidden="false" customHeight="true" outlineLevel="0" collapsed="false"/>
    <row r="858" customFormat="false" ht="13.5" hidden="false" customHeight="true" outlineLevel="0" collapsed="false"/>
    <row r="859" customFormat="false" ht="13.5" hidden="false" customHeight="true" outlineLevel="0" collapsed="false"/>
    <row r="860" customFormat="false" ht="13.5" hidden="false" customHeight="true" outlineLevel="0" collapsed="false"/>
    <row r="861" customFormat="false" ht="13.5" hidden="false" customHeight="true" outlineLevel="0" collapsed="false"/>
    <row r="862" customFormat="false" ht="13.5" hidden="false" customHeight="true" outlineLevel="0" collapsed="false"/>
    <row r="863" customFormat="false" ht="13.5" hidden="false" customHeight="true" outlineLevel="0" collapsed="false"/>
    <row r="864" customFormat="false" ht="13.5" hidden="false" customHeight="true" outlineLevel="0" collapsed="false"/>
    <row r="865" customFormat="false" ht="13.5" hidden="false" customHeight="true" outlineLevel="0" collapsed="false"/>
    <row r="866" customFormat="false" ht="13.5" hidden="false" customHeight="true" outlineLevel="0" collapsed="false"/>
    <row r="867" customFormat="false" ht="13.5" hidden="false" customHeight="true" outlineLevel="0" collapsed="false"/>
    <row r="868" customFormat="false" ht="13.5" hidden="false" customHeight="true" outlineLevel="0" collapsed="false"/>
    <row r="869" customFormat="false" ht="13.5" hidden="false" customHeight="true" outlineLevel="0" collapsed="false"/>
    <row r="870" customFormat="false" ht="13.5" hidden="false" customHeight="true" outlineLevel="0" collapsed="false"/>
    <row r="871" customFormat="false" ht="13.5" hidden="false" customHeight="true" outlineLevel="0" collapsed="false"/>
    <row r="872" customFormat="false" ht="13.5" hidden="false" customHeight="true" outlineLevel="0" collapsed="false"/>
    <row r="873" customFormat="false" ht="13.5" hidden="false" customHeight="true" outlineLevel="0" collapsed="false"/>
    <row r="874" customFormat="false" ht="13.5" hidden="false" customHeight="true" outlineLevel="0" collapsed="false"/>
    <row r="875" customFormat="false" ht="13.5" hidden="false" customHeight="true" outlineLevel="0" collapsed="false"/>
    <row r="876" customFormat="false" ht="13.5" hidden="false" customHeight="true" outlineLevel="0" collapsed="false"/>
    <row r="877" customFormat="false" ht="13.5" hidden="false" customHeight="true" outlineLevel="0" collapsed="false"/>
    <row r="878" customFormat="false" ht="13.5" hidden="false" customHeight="true" outlineLevel="0" collapsed="false"/>
    <row r="879" customFormat="false" ht="13.5" hidden="false" customHeight="true" outlineLevel="0" collapsed="false"/>
    <row r="880" customFormat="false" ht="13.5" hidden="false" customHeight="true" outlineLevel="0" collapsed="false"/>
    <row r="881" customFormat="false" ht="13.5" hidden="false" customHeight="true" outlineLevel="0" collapsed="false"/>
    <row r="882" customFormat="false" ht="13.5" hidden="false" customHeight="true" outlineLevel="0" collapsed="false"/>
    <row r="883" customFormat="false" ht="13.5" hidden="false" customHeight="true" outlineLevel="0" collapsed="false"/>
    <row r="884" customFormat="false" ht="13.5" hidden="false" customHeight="true" outlineLevel="0" collapsed="false"/>
    <row r="885" customFormat="false" ht="13.5" hidden="false" customHeight="true" outlineLevel="0" collapsed="false"/>
    <row r="886" customFormat="false" ht="13.5" hidden="false" customHeight="true" outlineLevel="0" collapsed="false"/>
    <row r="887" customFormat="false" ht="13.5" hidden="false" customHeight="true" outlineLevel="0" collapsed="false"/>
    <row r="888" customFormat="false" ht="13.5" hidden="false" customHeight="true" outlineLevel="0" collapsed="false"/>
    <row r="889" customFormat="false" ht="13.5" hidden="false" customHeight="true" outlineLevel="0" collapsed="false"/>
    <row r="890" customFormat="false" ht="13.5" hidden="false" customHeight="true" outlineLevel="0" collapsed="false"/>
    <row r="891" customFormat="false" ht="13.5" hidden="false" customHeight="true" outlineLevel="0" collapsed="false"/>
    <row r="892" customFormat="false" ht="13.5" hidden="false" customHeight="true" outlineLevel="0" collapsed="false"/>
    <row r="893" customFormat="false" ht="13.5" hidden="false" customHeight="true" outlineLevel="0" collapsed="false"/>
    <row r="894" customFormat="false" ht="13.5" hidden="false" customHeight="true" outlineLevel="0" collapsed="false"/>
    <row r="895" customFormat="false" ht="13.5" hidden="false" customHeight="true" outlineLevel="0" collapsed="false"/>
    <row r="896" customFormat="false" ht="13.5" hidden="false" customHeight="true" outlineLevel="0" collapsed="false"/>
    <row r="897" customFormat="false" ht="13.5" hidden="false" customHeight="true" outlineLevel="0" collapsed="false"/>
    <row r="898" customFormat="false" ht="13.5" hidden="false" customHeight="true" outlineLevel="0" collapsed="false"/>
    <row r="899" customFormat="false" ht="13.5" hidden="false" customHeight="true" outlineLevel="0" collapsed="false"/>
    <row r="900" customFormat="false" ht="13.5" hidden="false" customHeight="true" outlineLevel="0" collapsed="false"/>
    <row r="901" customFormat="false" ht="13.5" hidden="false" customHeight="true" outlineLevel="0" collapsed="false"/>
    <row r="902" customFormat="false" ht="13.5" hidden="false" customHeight="true" outlineLevel="0" collapsed="false"/>
    <row r="903" customFormat="false" ht="13.5" hidden="false" customHeight="true" outlineLevel="0" collapsed="false"/>
    <row r="904" customFormat="false" ht="13.5" hidden="false" customHeight="true" outlineLevel="0" collapsed="false"/>
    <row r="905" customFormat="false" ht="13.5" hidden="false" customHeight="true" outlineLevel="0" collapsed="false"/>
    <row r="906" customFormat="false" ht="13.5" hidden="false" customHeight="true" outlineLevel="0" collapsed="false"/>
    <row r="907" customFormat="false" ht="13.5" hidden="false" customHeight="true" outlineLevel="0" collapsed="false"/>
    <row r="908" customFormat="false" ht="13.5" hidden="false" customHeight="true" outlineLevel="0" collapsed="false"/>
    <row r="909" customFormat="false" ht="13.5" hidden="false" customHeight="true" outlineLevel="0" collapsed="false"/>
    <row r="910" customFormat="false" ht="13.5" hidden="false" customHeight="true" outlineLevel="0" collapsed="false"/>
    <row r="911" customFormat="false" ht="13.5" hidden="false" customHeight="true" outlineLevel="0" collapsed="false"/>
    <row r="912" customFormat="false" ht="13.5" hidden="false" customHeight="true" outlineLevel="0" collapsed="false"/>
    <row r="913" customFormat="false" ht="13.5" hidden="false" customHeight="true" outlineLevel="0" collapsed="false"/>
    <row r="914" customFormat="false" ht="13.5" hidden="false" customHeight="true" outlineLevel="0" collapsed="false"/>
    <row r="915" customFormat="false" ht="13.5" hidden="false" customHeight="true" outlineLevel="0" collapsed="false"/>
    <row r="916" customFormat="false" ht="13.5" hidden="false" customHeight="true" outlineLevel="0" collapsed="false"/>
    <row r="917" customFormat="false" ht="13.5" hidden="false" customHeight="true" outlineLevel="0" collapsed="false"/>
    <row r="918" customFormat="false" ht="13.5" hidden="false" customHeight="true" outlineLevel="0" collapsed="false"/>
    <row r="919" customFormat="false" ht="13.5" hidden="false" customHeight="true" outlineLevel="0" collapsed="false"/>
    <row r="920" customFormat="false" ht="13.5" hidden="false" customHeight="true" outlineLevel="0" collapsed="false"/>
    <row r="921" customFormat="false" ht="13.5" hidden="false" customHeight="true" outlineLevel="0" collapsed="false"/>
    <row r="922" customFormat="false" ht="13.5" hidden="false" customHeight="true" outlineLevel="0" collapsed="false"/>
    <row r="923" customFormat="false" ht="13.5" hidden="false" customHeight="true" outlineLevel="0" collapsed="false"/>
    <row r="924" customFormat="false" ht="13.5" hidden="false" customHeight="true" outlineLevel="0" collapsed="false"/>
    <row r="925" customFormat="false" ht="13.5" hidden="false" customHeight="true" outlineLevel="0" collapsed="false"/>
    <row r="926" customFormat="false" ht="13.5" hidden="false" customHeight="true" outlineLevel="0" collapsed="false"/>
    <row r="927" customFormat="false" ht="13.5" hidden="false" customHeight="true" outlineLevel="0" collapsed="false"/>
    <row r="928" customFormat="false" ht="13.5" hidden="false" customHeight="true" outlineLevel="0" collapsed="false"/>
    <row r="929" customFormat="false" ht="13.5" hidden="false" customHeight="true" outlineLevel="0" collapsed="false"/>
    <row r="930" customFormat="false" ht="13.5" hidden="false" customHeight="true" outlineLevel="0" collapsed="false"/>
    <row r="931" customFormat="false" ht="13.5" hidden="false" customHeight="true" outlineLevel="0" collapsed="false"/>
    <row r="932" customFormat="false" ht="13.5" hidden="false" customHeight="true" outlineLevel="0" collapsed="false"/>
    <row r="933" customFormat="false" ht="13.5" hidden="false" customHeight="true" outlineLevel="0" collapsed="false"/>
    <row r="934" customFormat="false" ht="13.5" hidden="false" customHeight="true" outlineLevel="0" collapsed="false"/>
    <row r="935" customFormat="false" ht="13.5" hidden="false" customHeight="true" outlineLevel="0" collapsed="false"/>
    <row r="936" customFormat="false" ht="13.5" hidden="false" customHeight="true" outlineLevel="0" collapsed="false"/>
    <row r="937" customFormat="false" ht="13.5" hidden="false" customHeight="true" outlineLevel="0" collapsed="false"/>
    <row r="938" customFormat="false" ht="13.5" hidden="false" customHeight="true" outlineLevel="0" collapsed="false"/>
    <row r="939" customFormat="false" ht="13.5" hidden="false" customHeight="true" outlineLevel="0" collapsed="false"/>
    <row r="940" customFormat="false" ht="13.5" hidden="false" customHeight="true" outlineLevel="0" collapsed="false"/>
    <row r="941" customFormat="false" ht="13.5" hidden="false" customHeight="true" outlineLevel="0" collapsed="false"/>
    <row r="942" customFormat="false" ht="13.5" hidden="false" customHeight="true" outlineLevel="0" collapsed="false"/>
    <row r="943" customFormat="false" ht="13.5" hidden="false" customHeight="true" outlineLevel="0" collapsed="false"/>
    <row r="944" customFormat="false" ht="13.5" hidden="false" customHeight="true" outlineLevel="0" collapsed="false"/>
    <row r="945" customFormat="false" ht="13.5" hidden="false" customHeight="true" outlineLevel="0" collapsed="false"/>
    <row r="946" customFormat="false" ht="13.5" hidden="false" customHeight="true" outlineLevel="0" collapsed="false"/>
    <row r="947" customFormat="false" ht="13.5" hidden="false" customHeight="true" outlineLevel="0" collapsed="false"/>
    <row r="948" customFormat="false" ht="13.5" hidden="false" customHeight="true" outlineLevel="0" collapsed="false"/>
    <row r="949" customFormat="false" ht="13.5" hidden="false" customHeight="true" outlineLevel="0" collapsed="false"/>
    <row r="950" customFormat="false" ht="13.5" hidden="false" customHeight="true" outlineLevel="0" collapsed="false"/>
    <row r="951" customFormat="false" ht="13.5" hidden="false" customHeight="true" outlineLevel="0" collapsed="false"/>
    <row r="952" customFormat="false" ht="13.5" hidden="false" customHeight="true" outlineLevel="0" collapsed="false"/>
    <row r="953" customFormat="false" ht="13.5" hidden="false" customHeight="true" outlineLevel="0" collapsed="false"/>
    <row r="954" customFormat="false" ht="13.5" hidden="false" customHeight="true" outlineLevel="0" collapsed="false"/>
    <row r="955" customFormat="false" ht="13.5" hidden="false" customHeight="true" outlineLevel="0" collapsed="false"/>
    <row r="956" customFormat="false" ht="13.5" hidden="false" customHeight="true" outlineLevel="0" collapsed="false"/>
    <row r="957" customFormat="false" ht="13.5" hidden="false" customHeight="true" outlineLevel="0" collapsed="false"/>
    <row r="958" customFormat="false" ht="13.5" hidden="false" customHeight="true" outlineLevel="0" collapsed="false"/>
    <row r="959" customFormat="false" ht="13.5" hidden="false" customHeight="true" outlineLevel="0" collapsed="false"/>
    <row r="960" customFormat="false" ht="13.5" hidden="false" customHeight="true" outlineLevel="0" collapsed="false"/>
    <row r="961" customFormat="false" ht="13.5" hidden="false" customHeight="true" outlineLevel="0" collapsed="false"/>
    <row r="962" customFormat="false" ht="13.5" hidden="false" customHeight="true" outlineLevel="0" collapsed="false"/>
    <row r="963" customFormat="false" ht="13.5" hidden="false" customHeight="true" outlineLevel="0" collapsed="false"/>
    <row r="964" customFormat="false" ht="13.5" hidden="false" customHeight="true" outlineLevel="0" collapsed="false"/>
    <row r="965" customFormat="false" ht="13.5" hidden="false" customHeight="true" outlineLevel="0" collapsed="false"/>
    <row r="966" customFormat="false" ht="13.5" hidden="false" customHeight="true" outlineLevel="0" collapsed="false"/>
    <row r="967" customFormat="false" ht="13.5" hidden="false" customHeight="true" outlineLevel="0" collapsed="false"/>
    <row r="968" customFormat="false" ht="13.5" hidden="false" customHeight="true" outlineLevel="0" collapsed="false"/>
    <row r="969" customFormat="false" ht="13.5" hidden="false" customHeight="true" outlineLevel="0" collapsed="false"/>
    <row r="970" customFormat="false" ht="13.5" hidden="false" customHeight="true" outlineLevel="0" collapsed="false"/>
    <row r="971" customFormat="false" ht="13.5" hidden="false" customHeight="true" outlineLevel="0" collapsed="false"/>
    <row r="972" customFormat="false" ht="13.5" hidden="false" customHeight="true" outlineLevel="0" collapsed="false"/>
    <row r="973" customFormat="false" ht="13.5" hidden="false" customHeight="true" outlineLevel="0" collapsed="false"/>
    <row r="974" customFormat="false" ht="13.5" hidden="false" customHeight="true" outlineLevel="0" collapsed="false"/>
    <row r="975" customFormat="false" ht="13.5" hidden="false" customHeight="true" outlineLevel="0" collapsed="false"/>
    <row r="976" customFormat="false" ht="13.5" hidden="false" customHeight="true" outlineLevel="0" collapsed="false"/>
    <row r="977" customFormat="false" ht="13.5" hidden="false" customHeight="true" outlineLevel="0" collapsed="false"/>
    <row r="978" customFormat="false" ht="13.5" hidden="false" customHeight="true" outlineLevel="0" collapsed="false"/>
    <row r="979" customFormat="false" ht="13.5" hidden="false" customHeight="true" outlineLevel="0" collapsed="false"/>
    <row r="980" customFormat="false" ht="13.5" hidden="false" customHeight="true" outlineLevel="0" collapsed="false"/>
    <row r="981" customFormat="false" ht="13.5" hidden="false" customHeight="true" outlineLevel="0" collapsed="false"/>
    <row r="982" customFormat="false" ht="13.5" hidden="false" customHeight="true" outlineLevel="0" collapsed="false"/>
    <row r="983" customFormat="false" ht="13.5" hidden="false" customHeight="true" outlineLevel="0" collapsed="false"/>
    <row r="984" customFormat="false" ht="13.5" hidden="false" customHeight="true" outlineLevel="0" collapsed="false"/>
    <row r="985" customFormat="false" ht="13.5" hidden="false" customHeight="true" outlineLevel="0" collapsed="false"/>
    <row r="986" customFormat="false" ht="13.5" hidden="false" customHeight="true" outlineLevel="0" collapsed="false"/>
    <row r="987" customFormat="false" ht="13.5" hidden="false" customHeight="true" outlineLevel="0" collapsed="false"/>
    <row r="988" customFormat="false" ht="13.5" hidden="false" customHeight="true" outlineLevel="0" collapsed="false"/>
    <row r="989" customFormat="false" ht="13.5" hidden="false" customHeight="true" outlineLevel="0" collapsed="false"/>
    <row r="990" customFormat="false" ht="13.5" hidden="false" customHeight="true" outlineLevel="0" collapsed="false"/>
    <row r="991" customFormat="false" ht="13.5" hidden="false" customHeight="true" outlineLevel="0" collapsed="false"/>
    <row r="992" customFormat="false" ht="13.5" hidden="false" customHeight="true" outlineLevel="0" collapsed="false"/>
    <row r="993" customFormat="false" ht="13.5" hidden="false" customHeight="true" outlineLevel="0" collapsed="false"/>
    <row r="994" customFormat="false" ht="13.5" hidden="false" customHeight="true" outlineLevel="0" collapsed="false"/>
    <row r="995" customFormat="false" ht="13.5" hidden="false" customHeight="true" outlineLevel="0" collapsed="false"/>
    <row r="996" customFormat="false" ht="13.5" hidden="false" customHeight="true" outlineLevel="0" collapsed="false"/>
    <row r="997" customFormat="false" ht="13.5" hidden="false" customHeight="true" outlineLevel="0" collapsed="false"/>
    <row r="998" customFormat="false" ht="13.5" hidden="false" customHeight="true" outlineLevel="0" collapsed="false"/>
    <row r="999" customFormat="false" ht="13.5" hidden="false" customHeight="true" outlineLevel="0" collapsed="false"/>
    <row r="1000" customFormat="false" ht="13.5" hidden="false" customHeight="true" outlineLevel="0" collapsed="false"/>
  </sheetData>
  <mergeCells count="8">
    <mergeCell ref="B2:K2"/>
    <mergeCell ref="B3:K3"/>
    <mergeCell ref="B4:B5"/>
    <mergeCell ref="C4:C5"/>
    <mergeCell ref="D4:D5"/>
    <mergeCell ref="B16:C16"/>
    <mergeCell ref="B17:C17"/>
    <mergeCell ref="B18:C1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4:C100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26" min="1" style="0" width="10.56"/>
  </cols>
  <sheetData>
    <row r="4" customFormat="false" ht="15" hidden="false" customHeight="false" outlineLevel="0" collapsed="false">
      <c r="C4" s="12" t="s">
        <v>173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2025-11-07T13:57:39Z</dcterms:created>
  <dc:creator/>
  <dc:description/>
  <dc:language>en-US</dc:language>
  <cp:lastModifiedBy/>
  <dcterms:modified xsi:type="dcterms:W3CDTF">2025-11-23T15:30:33Z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